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defaultThemeVersion="124226"/>
  <mc:AlternateContent xmlns:mc="http://schemas.openxmlformats.org/markup-compatibility/2006">
    <mc:Choice Requires="x15">
      <x15ac:absPath xmlns:x15ac="http://schemas.microsoft.com/office/spreadsheetml/2010/11/ac" url="E:\拓普工作\03 学习材料\08 规范材料\方案模板\01标准模板\06预算表\03-各地报价模板\河南\"/>
    </mc:Choice>
  </mc:AlternateContent>
  <xr:revisionPtr revIDLastSave="0" documentId="13_ncr:1_{11F01757-ACF5-43BF-A8ED-EF0CE3789BAD}" xr6:coauthVersionLast="47" xr6:coauthVersionMax="47" xr10:uidLastSave="{00000000-0000-0000-0000-000000000000}"/>
  <bookViews>
    <workbookView xWindow="-98" yWindow="-98" windowWidth="19396" windowHeight="11596" tabRatio="890" firstSheet="1" activeTab="1" xr2:uid="{00000000-000D-0000-FFFF-FFFF00000000}"/>
  </bookViews>
  <sheets>
    <sheet name="表1-1 预算总表" sheetId="6" r:id="rId1"/>
    <sheet name="应用系统定制开发工作量汇总附表2" sheetId="11" r:id="rId2"/>
    <sheet name="应用系统定制开发工作量明细表3-1-服务业综合评价管理系统" sheetId="21" r:id="rId3"/>
    <sheet name="应用系统定制开发工作量明细表3-2参评企业服务系统" sheetId="14" r:id="rId4"/>
    <sheet name="应用系统定制开发工作量明细表3-3认证服务管理系统" sheetId="20" r:id="rId5"/>
  </sheets>
  <definedNames>
    <definedName name="_Hlk535582288" localSheetId="0">'表1-1 预算总表'!#REF!</definedName>
  </definedNames>
  <calcPr calcId="191029"/>
</workbook>
</file>

<file path=xl/calcChain.xml><?xml version="1.0" encoding="utf-8"?>
<calcChain xmlns="http://schemas.openxmlformats.org/spreadsheetml/2006/main">
  <c r="I2" i="20" l="1"/>
  <c r="C5" i="11" s="1"/>
  <c r="H4" i="20"/>
  <c r="H5" i="20"/>
  <c r="H6" i="20"/>
  <c r="H7" i="20"/>
  <c r="H8" i="20"/>
  <c r="H9" i="20"/>
  <c r="H3" i="20"/>
  <c r="I2" i="14"/>
  <c r="C4" i="11" s="1"/>
  <c r="H4" i="14"/>
  <c r="H5" i="14"/>
  <c r="H6" i="14"/>
  <c r="H7" i="14"/>
  <c r="H8" i="14"/>
  <c r="H9" i="14"/>
  <c r="H10" i="14"/>
  <c r="H11" i="14"/>
  <c r="H12" i="14"/>
  <c r="H13" i="14"/>
  <c r="H14" i="14"/>
  <c r="H15" i="14"/>
  <c r="H16" i="14"/>
  <c r="H17" i="14"/>
  <c r="H18" i="14"/>
  <c r="H19" i="14"/>
  <c r="H20" i="14"/>
  <c r="H21" i="14"/>
  <c r="H22" i="14"/>
  <c r="H3" i="14"/>
  <c r="I2" i="21"/>
  <c r="C3" i="11" s="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64" i="21"/>
  <c r="H65" i="21"/>
  <c r="H66" i="21"/>
  <c r="H67" i="21"/>
  <c r="H68" i="21"/>
  <c r="H69" i="21"/>
  <c r="H70" i="21"/>
  <c r="H71" i="21"/>
  <c r="H72" i="21"/>
  <c r="H73" i="21"/>
  <c r="H74" i="21"/>
  <c r="H75" i="21"/>
  <c r="H76" i="21"/>
  <c r="H77" i="21"/>
  <c r="H78" i="21"/>
  <c r="H79" i="21"/>
  <c r="H80" i="21"/>
  <c r="H81" i="21"/>
  <c r="H82" i="21"/>
  <c r="H83" i="21"/>
  <c r="H84" i="21"/>
  <c r="H85" i="21"/>
  <c r="H86" i="21"/>
  <c r="H87" i="21"/>
  <c r="H88" i="21"/>
  <c r="H89" i="21"/>
  <c r="H90" i="21"/>
  <c r="H3" i="21"/>
  <c r="I1048550" i="21" l="1"/>
  <c r="H4" i="11" l="1"/>
  <c r="J4" i="11" s="1"/>
  <c r="H3" i="11"/>
  <c r="J3" i="11" s="1"/>
  <c r="H5" i="11" l="1"/>
  <c r="J5" i="11" s="1"/>
  <c r="J6" i="11" s="1"/>
  <c r="C5" i="6" l="1"/>
  <c r="C23"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I1" authorId="0" shapeId="0" xr:uid="{00000000-0006-0000-0400-000001000000}">
      <text>
        <r>
          <rPr>
            <b/>
            <sz val="9"/>
            <rFont val="宋体"/>
            <family val="3"/>
            <charset val="134"/>
          </rPr>
          <t>作者:</t>
        </r>
        <r>
          <rPr>
            <sz val="9"/>
            <rFont val="宋体"/>
            <family val="3"/>
            <charset val="134"/>
          </rPr>
          <t xml:space="preserve">
功能点数合计=35*ILF数量合计（即N）+15*EIF数量合计（即M）</t>
        </r>
      </text>
    </comment>
  </commentList>
</comments>
</file>

<file path=xl/sharedStrings.xml><?xml version="1.0" encoding="utf-8"?>
<sst xmlns="http://schemas.openxmlformats.org/spreadsheetml/2006/main" count="514" uniqueCount="360">
  <si>
    <t>单位：万元</t>
  </si>
  <si>
    <t>序号</t>
  </si>
  <si>
    <t>名称及类别</t>
  </si>
  <si>
    <t>估算金额
（1.8万人/月）</t>
  </si>
  <si>
    <t>备注</t>
  </si>
  <si>
    <t>一</t>
  </si>
  <si>
    <t>应用系统定制开发</t>
  </si>
  <si>
    <t>（一）</t>
  </si>
  <si>
    <t>基于成熟产品定制开发</t>
  </si>
  <si>
    <t>（二）</t>
  </si>
  <si>
    <t>基于统一平台或云平台的软件开发</t>
  </si>
  <si>
    <t>（三）</t>
  </si>
  <si>
    <t>大型行业软件开发</t>
  </si>
  <si>
    <t>（四）</t>
  </si>
  <si>
    <t>数据分析、加工及迁移</t>
  </si>
  <si>
    <t>（五）</t>
  </si>
  <si>
    <t>简单业务软件开发</t>
  </si>
  <si>
    <t>小计1</t>
  </si>
  <si>
    <t>二</t>
  </si>
  <si>
    <t>成品软硬件采购</t>
  </si>
  <si>
    <t>成品硬件采购</t>
  </si>
  <si>
    <t>成品软件采购</t>
  </si>
  <si>
    <t>小计2</t>
  </si>
  <si>
    <t>三</t>
  </si>
  <si>
    <t>工程建设其他费用</t>
  </si>
  <si>
    <t>工程建设其他费分册中不计取，在总册中统一计取。</t>
  </si>
  <si>
    <t>前期工作费</t>
  </si>
  <si>
    <t>建设单位管理费</t>
  </si>
  <si>
    <t>工程勘察设计费</t>
  </si>
  <si>
    <t>工程监理费</t>
  </si>
  <si>
    <t>工程造价咨询费</t>
  </si>
  <si>
    <t>（六）</t>
  </si>
  <si>
    <t>安全等级保护测评费</t>
  </si>
  <si>
    <t>（七）</t>
  </si>
  <si>
    <t>第三方软件测试费</t>
  </si>
  <si>
    <t>小计3</t>
  </si>
  <si>
    <t>合计（小计1+小计2+小计3）</t>
  </si>
  <si>
    <t>服务业综合评价管理系统</t>
  </si>
  <si>
    <t>参评企业服务系统</t>
  </si>
  <si>
    <t>认证服务管理系统</t>
  </si>
  <si>
    <t>系统名称</t>
  </si>
  <si>
    <t>功能点权值</t>
  </si>
  <si>
    <t>部门看板</t>
  </si>
  <si>
    <t>看板展示</t>
  </si>
  <si>
    <t>EIF</t>
  </si>
  <si>
    <t>评价结果</t>
  </si>
  <si>
    <t>亩均一张图</t>
  </si>
  <si>
    <t>亩均英雄榜</t>
  </si>
  <si>
    <t>评价结果统计</t>
  </si>
  <si>
    <t>评价结果查询</t>
  </si>
  <si>
    <t>亩均效益统计</t>
  </si>
  <si>
    <t>亩均效益情况</t>
  </si>
  <si>
    <t>参评企业库</t>
  </si>
  <si>
    <t>加分项查询</t>
  </si>
  <si>
    <t>数据分析（市级）</t>
  </si>
  <si>
    <t>整体情况分析</t>
  </si>
  <si>
    <t>全市参评、未参评企业总量信息</t>
  </si>
  <si>
    <t>区域情况分析</t>
  </si>
  <si>
    <t>行业情况分析</t>
  </si>
  <si>
    <t>行业情况分析报告模板信息</t>
  </si>
  <si>
    <t>各指标项情况分析</t>
  </si>
  <si>
    <t>参评对象管理</t>
  </si>
  <si>
    <t>企业名单管理</t>
  </si>
  <si>
    <t>ILF</t>
  </si>
  <si>
    <t>企业名单审核</t>
  </si>
  <si>
    <t>未参评企业名单</t>
  </si>
  <si>
    <t>数据接入（县区）</t>
  </si>
  <si>
    <t>企业信息导入</t>
  </si>
  <si>
    <t>填报进度查询</t>
  </si>
  <si>
    <t>评价管理（市级）</t>
  </si>
  <si>
    <t>评价结果审核</t>
  </si>
  <si>
    <t>评价结果行业、区域、类别等信息</t>
  </si>
  <si>
    <t>评价调整审批</t>
  </si>
  <si>
    <t>参评企业名单</t>
  </si>
  <si>
    <t>评价管理（县区）</t>
  </si>
  <si>
    <t>初步评定</t>
  </si>
  <si>
    <t>手工调档</t>
  </si>
  <si>
    <t>调档记录查询</t>
  </si>
  <si>
    <t>评价调整申请</t>
  </si>
  <si>
    <t>评价调整原因等申请信息</t>
  </si>
  <si>
    <t>模型管理(市级)</t>
  </si>
  <si>
    <t>指标项管理</t>
  </si>
  <si>
    <t>指标管理</t>
  </si>
  <si>
    <t>分类等级管理</t>
  </si>
  <si>
    <t>评价模型管理</t>
  </si>
  <si>
    <t>调档原因管理</t>
  </si>
  <si>
    <t>模型管理(县区)</t>
  </si>
  <si>
    <t xml:space="preserve"> 指标基准值维护</t>
  </si>
  <si>
    <t xml:space="preserve"> 分类等级维护</t>
  </si>
  <si>
    <t>信息发布</t>
  </si>
  <si>
    <t>通知公告</t>
  </si>
  <si>
    <t>指导意见</t>
  </si>
  <si>
    <t>首页看板</t>
  </si>
  <si>
    <t>趋势变化信息</t>
  </si>
  <si>
    <t>信息采集</t>
  </si>
  <si>
    <t>信息填报</t>
  </si>
  <si>
    <t>基础指标信息</t>
  </si>
  <si>
    <t>加分指标信息</t>
  </si>
  <si>
    <t>审核进度</t>
  </si>
  <si>
    <t>异议管理</t>
  </si>
  <si>
    <t>信息确认</t>
  </si>
  <si>
    <t>基础信息</t>
  </si>
  <si>
    <t>模型预览</t>
  </si>
  <si>
    <t>基础指标得分信息</t>
  </si>
  <si>
    <t>信息动态</t>
  </si>
  <si>
    <t>政策法规</t>
  </si>
  <si>
    <t>用户认证</t>
  </si>
  <si>
    <t>认证服务</t>
  </si>
  <si>
    <t>用于实现用户访问权限下的验证，包括用户登陆验证、密码验证、用户退出验证等</t>
  </si>
  <si>
    <t>系统管理</t>
  </si>
  <si>
    <t>用户管理</t>
  </si>
  <si>
    <t>用户管理信息</t>
  </si>
  <si>
    <t>机构管理</t>
  </si>
  <si>
    <t>机构管理信息</t>
  </si>
  <si>
    <t>角色管理</t>
  </si>
  <si>
    <t>角色管理信息</t>
  </si>
  <si>
    <t>权限管理</t>
  </si>
  <si>
    <t>权限管理信息</t>
  </si>
  <si>
    <t>菜单管理</t>
  </si>
  <si>
    <t>菜单管理信息</t>
  </si>
  <si>
    <t>消息服务</t>
  </si>
  <si>
    <t>消息推送服务</t>
  </si>
  <si>
    <t>部门亩均效益指标排名信息</t>
    <phoneticPr fontId="12" type="noConversion"/>
  </si>
  <si>
    <t>市级、县级亩均效益指标排名数据</t>
    <phoneticPr fontId="12" type="noConversion"/>
  </si>
  <si>
    <t>部门评级类型分布信息</t>
    <phoneticPr fontId="12" type="noConversion"/>
  </si>
  <si>
    <t>市级、县级评级类型分布信息</t>
    <phoneticPr fontId="12" type="noConversion"/>
  </si>
  <si>
    <t>部门参评企业年度变化情况</t>
    <phoneticPr fontId="12" type="noConversion"/>
  </si>
  <si>
    <t>市级、县级近五年参评企业年度变化信息</t>
    <phoneticPr fontId="12" type="noConversion"/>
  </si>
  <si>
    <t>部门参评企业类型分布信息</t>
    <phoneticPr fontId="12" type="noConversion"/>
  </si>
  <si>
    <t>市级、县级部门参评企业类型及状态等信息</t>
    <phoneticPr fontId="12" type="noConversion"/>
  </si>
  <si>
    <t>类型企业数量统计</t>
    <phoneticPr fontId="12" type="noConversion"/>
  </si>
  <si>
    <t>全市A、B、C、D类企业数量及占比信息</t>
    <phoneticPr fontId="12" type="noConversion"/>
  </si>
  <si>
    <t>各市县指标信息</t>
    <phoneticPr fontId="12" type="noConversion"/>
  </si>
  <si>
    <t>各市县规模以上区域，亩均税收、亩均利润，规模以下亩均税收等指标数据</t>
    <phoneticPr fontId="12" type="noConversion"/>
  </si>
  <si>
    <t>各县区等级信息</t>
    <phoneticPr fontId="12" type="noConversion"/>
  </si>
  <si>
    <t>各区县等级信息</t>
    <phoneticPr fontId="12" type="noConversion"/>
  </si>
  <si>
    <t>参评企业等级分类信息</t>
    <phoneticPr fontId="12" type="noConversion"/>
  </si>
  <si>
    <t>全市参评企业等级分类信息</t>
    <phoneticPr fontId="12" type="noConversion"/>
  </si>
  <si>
    <t>参评企业指标项信息</t>
    <phoneticPr fontId="12" type="noConversion"/>
  </si>
  <si>
    <t>参评企业指标项信息</t>
    <phoneticPr fontId="12" type="noConversion"/>
  </si>
  <si>
    <t>区域地图信息</t>
    <phoneticPr fontId="12" type="noConversion"/>
  </si>
  <si>
    <t>各区域展示地图信息</t>
    <phoneticPr fontId="12" type="noConversion"/>
  </si>
  <si>
    <t>行业类型信息</t>
    <phoneticPr fontId="12" type="noConversion"/>
  </si>
  <si>
    <t>各行业类型信息</t>
    <phoneticPr fontId="12" type="noConversion"/>
  </si>
  <si>
    <t>各指标领跑排行榜</t>
    <phoneticPr fontId="12" type="noConversion"/>
  </si>
  <si>
    <t>各指标领跑区县榜信息</t>
    <phoneticPr fontId="12" type="noConversion"/>
  </si>
  <si>
    <t>规上企业亩均税收TOP30</t>
    <phoneticPr fontId="12" type="noConversion"/>
  </si>
  <si>
    <t>规上企业亩均税收信息（TOP30）</t>
    <phoneticPr fontId="12" type="noConversion"/>
  </si>
  <si>
    <t>规上企业亩均税收行业TOP5</t>
    <phoneticPr fontId="12" type="noConversion"/>
  </si>
  <si>
    <t>规上企业行业亩均税收信息（TOP5）</t>
    <phoneticPr fontId="12" type="noConversion"/>
  </si>
  <si>
    <t>规上企业亩均税收TOP10县区</t>
    <phoneticPr fontId="12" type="noConversion"/>
  </si>
  <si>
    <t>规上企业县区亩均税收信息（TOP10）</t>
    <phoneticPr fontId="12" type="noConversion"/>
  </si>
  <si>
    <t>评价等级县区统计</t>
    <phoneticPr fontId="12" type="noConversion"/>
  </si>
  <si>
    <t>全市各区县评价A、B、C、D四个等级企业数量信息</t>
    <phoneticPr fontId="12" type="noConversion"/>
  </si>
  <si>
    <t>参评企业县区统计</t>
    <phoneticPr fontId="12" type="noConversion"/>
  </si>
  <si>
    <t>各区县参评企业数量信息</t>
    <phoneticPr fontId="12" type="noConversion"/>
  </si>
  <si>
    <t>参评企业等级信息</t>
    <phoneticPr fontId="12" type="noConversion"/>
  </si>
  <si>
    <t>全市参评企业历史年度评价等级信息</t>
    <phoneticPr fontId="12" type="noConversion"/>
  </si>
  <si>
    <t>参评企业评价基础指标明细信息</t>
    <phoneticPr fontId="12" type="noConversion"/>
  </si>
  <si>
    <t>全市参评企业历史年度基础指标明细信息</t>
    <phoneticPr fontId="12" type="noConversion"/>
  </si>
  <si>
    <t>参评企业加分指标明细信息</t>
    <phoneticPr fontId="12" type="noConversion"/>
  </si>
  <si>
    <t>全市参评企业历史年度加分指标明细信息</t>
    <phoneticPr fontId="12" type="noConversion"/>
  </si>
  <si>
    <t>全市参评企业历史年度指标项信息</t>
    <phoneticPr fontId="12" type="noConversion"/>
  </si>
  <si>
    <t>参评企业得分信息</t>
    <phoneticPr fontId="12" type="noConversion"/>
  </si>
  <si>
    <t>全市参评企业历史年度得分信息</t>
    <phoneticPr fontId="12" type="noConversion"/>
  </si>
  <si>
    <t>县区规模以上企业指标统计信息</t>
    <phoneticPr fontId="12" type="noConversion"/>
  </si>
  <si>
    <t>各区县所有规模以上企业亩均税收指标信息</t>
    <phoneticPr fontId="12" type="noConversion"/>
  </si>
  <si>
    <t>企业亩均效益信息</t>
    <phoneticPr fontId="12" type="noConversion"/>
  </si>
  <si>
    <t>本区域所有企业亩均效益信息</t>
    <phoneticPr fontId="12" type="noConversion"/>
  </si>
  <si>
    <t>效益行业排名信息</t>
    <phoneticPr fontId="12" type="noConversion"/>
  </si>
  <si>
    <t>本区域效益行业按评价年度、所属规模、行业类别等排名信息</t>
    <phoneticPr fontId="12" type="noConversion"/>
  </si>
  <si>
    <t>企业基础信息</t>
    <phoneticPr fontId="12" type="noConversion"/>
  </si>
  <si>
    <t>参评企业基本信息</t>
    <phoneticPr fontId="12" type="noConversion"/>
  </si>
  <si>
    <t>企业评价指标基础信息</t>
    <phoneticPr fontId="12" type="noConversion"/>
  </si>
  <si>
    <t>参评企业评价指标基础信息</t>
    <phoneticPr fontId="12" type="noConversion"/>
  </si>
  <si>
    <t>企业指标得分信息</t>
    <phoneticPr fontId="12" type="noConversion"/>
  </si>
  <si>
    <t>参评企业指标得分信息</t>
    <phoneticPr fontId="12" type="noConversion"/>
  </si>
  <si>
    <t>企业指标项信息</t>
    <phoneticPr fontId="12" type="noConversion"/>
  </si>
  <si>
    <t>企业评价模型信息</t>
    <phoneticPr fontId="12" type="noConversion"/>
  </si>
  <si>
    <t>参评企业评价模型信息</t>
    <phoneticPr fontId="12" type="noConversion"/>
  </si>
  <si>
    <t>企业等级信息</t>
    <phoneticPr fontId="12" type="noConversion"/>
  </si>
  <si>
    <t>参评企业评价等级信息</t>
    <phoneticPr fontId="12" type="noConversion"/>
  </si>
  <si>
    <t>企业全文检索管理信息</t>
    <phoneticPr fontId="12" type="noConversion"/>
  </si>
  <si>
    <t>企业全文检索管理信息</t>
    <phoneticPr fontId="12" type="noConversion"/>
  </si>
  <si>
    <t>企业加分项信息</t>
    <phoneticPr fontId="12" type="noConversion"/>
  </si>
  <si>
    <t>本部门下参评企业具体加分情况信息</t>
    <phoneticPr fontId="12" type="noConversion"/>
  </si>
  <si>
    <t>全市企业参评情况</t>
    <phoneticPr fontId="12" type="noConversion"/>
  </si>
  <si>
    <t>全市企业参评情况信息</t>
    <phoneticPr fontId="12" type="noConversion"/>
  </si>
  <si>
    <t>全市企业分类情况</t>
    <phoneticPr fontId="12" type="noConversion"/>
  </si>
  <si>
    <t>全市亩均效益指标情况</t>
    <phoneticPr fontId="12" type="noConversion"/>
  </si>
  <si>
    <t>全市参评企业亩均效益指标情况信息</t>
    <phoneticPr fontId="12" type="noConversion"/>
  </si>
  <si>
    <t>全市参评企业亩均效益指标一览表</t>
    <phoneticPr fontId="12" type="noConversion"/>
  </si>
  <si>
    <t>全市参评企业亩均效益指标一览表信息</t>
    <phoneticPr fontId="12" type="noConversion"/>
  </si>
  <si>
    <t>各县（市、区）参评企业数量统计表</t>
    <phoneticPr fontId="12" type="noConversion"/>
  </si>
  <si>
    <t>市级、县级参评企业数量统计信息</t>
    <phoneticPr fontId="12" type="noConversion"/>
  </si>
  <si>
    <t>各县（市、区）A、B、C、D类企业占比统计表</t>
    <phoneticPr fontId="12" type="noConversion"/>
  </si>
  <si>
    <t>市级、县级企业等级占比统计信息</t>
    <phoneticPr fontId="12" type="noConversion"/>
  </si>
  <si>
    <t>全市综合评价报告管理信息</t>
    <phoneticPr fontId="12" type="noConversion"/>
  </si>
  <si>
    <t>全市综合评价报告管理信息</t>
    <phoneticPr fontId="12" type="noConversion"/>
  </si>
  <si>
    <t>县区亩均效益情况分析</t>
    <phoneticPr fontId="12" type="noConversion"/>
  </si>
  <si>
    <t>各县区亩均效益情况分析信息</t>
    <phoneticPr fontId="12" type="noConversion"/>
  </si>
  <si>
    <r>
      <t>各县区亩均效益指标一览表</t>
    </r>
    <r>
      <rPr>
        <sz val="16"/>
        <color rgb="FF000000"/>
        <rFont val="Lucida Sans Unicode"/>
        <family val="2"/>
      </rPr>
      <t> </t>
    </r>
    <phoneticPr fontId="12" type="noConversion"/>
  </si>
  <si>
    <t>各区县亩均效益指标一览表信息</t>
    <phoneticPr fontId="12" type="noConversion"/>
  </si>
  <si>
    <t>各县区ABCD类企业占比统计表</t>
    <phoneticPr fontId="12" type="noConversion"/>
  </si>
  <si>
    <t>各县区评价分级、占比、与全市平均比对信息</t>
    <phoneticPr fontId="12" type="noConversion"/>
  </si>
  <si>
    <t>县区分析报告管理信息</t>
    <phoneticPr fontId="12" type="noConversion"/>
  </si>
  <si>
    <t>区域情况分析报告模板信息</t>
    <phoneticPr fontId="12" type="noConversion"/>
  </si>
  <si>
    <t xml:space="preserve">行业亩均效益整体情况分析 </t>
    <phoneticPr fontId="12" type="noConversion"/>
  </si>
  <si>
    <t>行业分级分布、企业数量整体情况信息</t>
    <phoneticPr fontId="12" type="noConversion"/>
  </si>
  <si>
    <t>各行业亩均效益指标一览表</t>
    <phoneticPr fontId="12" type="noConversion"/>
  </si>
  <si>
    <t>各行业亩均效益指标一览表信息</t>
    <phoneticPr fontId="12" type="noConversion"/>
  </si>
  <si>
    <t>各行业ABCD类企业占比统计表</t>
    <phoneticPr fontId="12" type="noConversion"/>
  </si>
  <si>
    <t>各行业分级分类企业占比统计表信息</t>
    <phoneticPr fontId="12" type="noConversion"/>
  </si>
  <si>
    <t>行业分析报告管理信息</t>
    <phoneticPr fontId="12" type="noConversion"/>
  </si>
  <si>
    <t>各指标项整体情况</t>
    <phoneticPr fontId="12" type="noConversion"/>
  </si>
  <si>
    <t>全市各指标项企业分布、排名、比对整体情况信息</t>
    <phoneticPr fontId="12" type="noConversion"/>
  </si>
  <si>
    <t>全市领跑排行榜</t>
    <phoneticPr fontId="12" type="noConversion"/>
  </si>
  <si>
    <t>全市领跑企业排行榜</t>
    <phoneticPr fontId="12" type="noConversion"/>
  </si>
  <si>
    <t>各指标英雄排行榜</t>
    <phoneticPr fontId="12" type="noConversion"/>
  </si>
  <si>
    <t>指标分布、比对、企业数量等信息</t>
    <phoneticPr fontId="12" type="noConversion"/>
  </si>
  <si>
    <t>各项指标分析报告管理信息</t>
    <phoneticPr fontId="12" type="noConversion"/>
  </si>
  <si>
    <t>各指标情况分析报告模板信息</t>
    <phoneticPr fontId="12" type="noConversion"/>
  </si>
  <si>
    <t>企业名单统一社会信用代码、企业名称、行业类别、所属规模、状态、所属区域、行业类型等企业信息</t>
    <phoneticPr fontId="12" type="noConversion"/>
  </si>
  <si>
    <t>企业名单审核记录信息</t>
    <phoneticPr fontId="12" type="noConversion"/>
  </si>
  <si>
    <t>乡镇、上报的企业名单以及县发展改革委导入的有乡镇办的企业名单审核记录信息</t>
    <phoneticPr fontId="12" type="noConversion"/>
  </si>
  <si>
    <t>未参评企业记录信息</t>
    <phoneticPr fontId="12" type="noConversion"/>
  </si>
  <si>
    <t>未参评企业名单相关信息</t>
    <phoneticPr fontId="12" type="noConversion"/>
  </si>
  <si>
    <t>企业信息历史记录信息</t>
    <phoneticPr fontId="12" type="noConversion"/>
  </si>
  <si>
    <t>县级导入企业历史记录信息</t>
    <phoneticPr fontId="12" type="noConversion"/>
  </si>
  <si>
    <t>企业异议审核</t>
    <phoneticPr fontId="12" type="noConversion"/>
  </si>
  <si>
    <t>异议原因管理信息</t>
    <phoneticPr fontId="12" type="noConversion"/>
  </si>
  <si>
    <t>企业异议信息申诉信息</t>
    <phoneticPr fontId="12" type="noConversion"/>
  </si>
  <si>
    <t>异议审核记录信息</t>
    <phoneticPr fontId="12" type="noConversion"/>
  </si>
  <si>
    <t>异议审核反馈意见认定结果信息</t>
    <phoneticPr fontId="12" type="noConversion"/>
  </si>
  <si>
    <t>企业填报审核</t>
    <phoneticPr fontId="12" type="noConversion"/>
  </si>
  <si>
    <t>企业填报原因管理信息</t>
    <phoneticPr fontId="12" type="noConversion"/>
  </si>
  <si>
    <t>企业填报信息</t>
    <phoneticPr fontId="12" type="noConversion"/>
  </si>
  <si>
    <t>企业填报审核记录</t>
    <phoneticPr fontId="12" type="noConversion"/>
  </si>
  <si>
    <t>企业填报审核状态、规模、审核意见等信息</t>
    <phoneticPr fontId="12" type="noConversion"/>
  </si>
  <si>
    <t>企业指标填报记录</t>
    <phoneticPr fontId="12" type="noConversion"/>
  </si>
  <si>
    <t>评价年度，数据来源，指标类别，填报状态等填报记录信息</t>
    <phoneticPr fontId="12" type="noConversion"/>
  </si>
  <si>
    <t>评价结果审核记录信息</t>
    <phoneticPr fontId="12" type="noConversion"/>
  </si>
  <si>
    <t>审批记录信息</t>
    <phoneticPr fontId="12" type="noConversion"/>
  </si>
  <si>
    <t>评价调整意见、状态等审批记录信息</t>
    <phoneticPr fontId="12" type="noConversion"/>
  </si>
  <si>
    <t>审批原因信息</t>
    <phoneticPr fontId="12" type="noConversion"/>
  </si>
  <si>
    <t>评价调整审批规则信息</t>
    <phoneticPr fontId="12" type="noConversion"/>
  </si>
  <si>
    <t>参评企业记录信息</t>
    <phoneticPr fontId="12" type="noConversion"/>
  </si>
  <si>
    <t>参评企业导出模板信息及参评企业信息</t>
    <phoneticPr fontId="12" type="noConversion"/>
  </si>
  <si>
    <t>企业评定等级记录信息</t>
    <phoneticPr fontId="12" type="noConversion"/>
  </si>
  <si>
    <t>初步评定企业等级记录信息</t>
    <phoneticPr fontId="12" type="noConversion"/>
  </si>
  <si>
    <t>企业评定得分记录信息</t>
    <phoneticPr fontId="12" type="noConversion"/>
  </si>
  <si>
    <t>初评评定企业得分记录信息</t>
    <phoneticPr fontId="12" type="noConversion"/>
  </si>
  <si>
    <t>部门调档记录信息</t>
    <phoneticPr fontId="12" type="noConversion"/>
  </si>
  <si>
    <t>调档规则及调档记录信息</t>
    <phoneticPr fontId="12" type="noConversion"/>
  </si>
  <si>
    <t>评价结果上报</t>
    <phoneticPr fontId="12" type="noConversion"/>
  </si>
  <si>
    <t>结果上报记录信息</t>
    <phoneticPr fontId="12" type="noConversion"/>
  </si>
  <si>
    <t>县区发展改革委评价企业、等级、得分等结果上报记录信息</t>
    <phoneticPr fontId="12" type="noConversion"/>
  </si>
  <si>
    <t>企业等级记录信息</t>
    <phoneticPr fontId="12" type="noConversion"/>
  </si>
  <si>
    <t>县级评价企业登记记录信息</t>
    <phoneticPr fontId="12" type="noConversion"/>
  </si>
  <si>
    <t>调档记录信息</t>
    <phoneticPr fontId="12" type="noConversion"/>
  </si>
  <si>
    <t>调档记录导出模板及记录信息</t>
    <phoneticPr fontId="12" type="noConversion"/>
  </si>
  <si>
    <t>评价申请记录信息</t>
    <phoneticPr fontId="12" type="noConversion"/>
  </si>
  <si>
    <t>指标项系管理信息</t>
    <phoneticPr fontId="12" type="noConversion"/>
  </si>
  <si>
    <t>市发展改革委对指标项维护信息</t>
    <phoneticPr fontId="12" type="noConversion"/>
  </si>
  <si>
    <t>加分项指标管理信息</t>
    <phoneticPr fontId="12" type="noConversion"/>
  </si>
  <si>
    <t>市发展改革委可对选定具体加分项指标管理信息</t>
    <phoneticPr fontId="12" type="noConversion"/>
  </si>
  <si>
    <t>基准分值管理信息</t>
    <phoneticPr fontId="12" type="noConversion"/>
  </si>
  <si>
    <t>市发展改革委对指标基准分支管理信息</t>
    <phoneticPr fontId="12" type="noConversion"/>
  </si>
  <si>
    <t>基础项指标管理信息</t>
    <phoneticPr fontId="12" type="noConversion"/>
  </si>
  <si>
    <t>市发展改革委对基础项指标管理维护信息</t>
    <phoneticPr fontId="12" type="noConversion"/>
  </si>
  <si>
    <t>等级分类管理信息</t>
    <phoneticPr fontId="12" type="noConversion"/>
  </si>
  <si>
    <t>不同分类等级调整具体分值等管理信息</t>
    <phoneticPr fontId="12" type="noConversion"/>
  </si>
  <si>
    <t>参评行业基础信息</t>
    <phoneticPr fontId="12" type="noConversion"/>
  </si>
  <si>
    <t>现代物流业、文化和旅游服务业、时尚服务业、大健康服务业、商贸和流通业、科技服务业、软件和信息服务业、金融、房地产等九大行业基础信息</t>
    <phoneticPr fontId="12" type="noConversion"/>
  </si>
  <si>
    <t>模型算法管理信息</t>
    <phoneticPr fontId="12" type="noConversion"/>
  </si>
  <si>
    <t>模型算法维护信息</t>
    <phoneticPr fontId="12" type="noConversion"/>
  </si>
  <si>
    <t>模型基础管理信息</t>
    <phoneticPr fontId="12" type="noConversion"/>
  </si>
  <si>
    <t>模型名称、适用行业、适用区域、所属规模、选择绑定指标、绑定算法等模型算法信息</t>
    <phoneticPr fontId="12" type="noConversion"/>
  </si>
  <si>
    <t>权重管理信息</t>
    <phoneticPr fontId="12" type="noConversion"/>
  </si>
  <si>
    <t>得分评定和等级评定权重信息</t>
    <phoneticPr fontId="12" type="noConversion"/>
  </si>
  <si>
    <t>调档原因管理信息</t>
    <phoneticPr fontId="12" type="noConversion"/>
  </si>
  <si>
    <t>市发展改革委对调档原因管理信息</t>
    <phoneticPr fontId="12" type="noConversion"/>
  </si>
  <si>
    <t>基准值管理信息</t>
    <phoneticPr fontId="12" type="noConversion"/>
  </si>
  <si>
    <t>县区发展改革委基础指标基准值管理信息</t>
    <phoneticPr fontId="12" type="noConversion"/>
  </si>
  <si>
    <t>等级管理信息</t>
    <phoneticPr fontId="12" type="noConversion"/>
  </si>
  <si>
    <t>县区发展改革委分类等级信息</t>
    <phoneticPr fontId="12" type="noConversion"/>
  </si>
  <si>
    <t>公告管理信息</t>
    <phoneticPr fontId="12" type="noConversion"/>
  </si>
  <si>
    <t>政策文件、法律法规信息</t>
    <phoneticPr fontId="12" type="noConversion"/>
  </si>
  <si>
    <t>通知管理信息</t>
    <phoneticPr fontId="12" type="noConversion"/>
  </si>
  <si>
    <t>通知管理信息</t>
    <phoneticPr fontId="12" type="noConversion"/>
  </si>
  <si>
    <t>指导意见管理信息</t>
    <phoneticPr fontId="12" type="noConversion"/>
  </si>
  <si>
    <t>国家、省、市对服务行业相关指导意见信息</t>
    <phoneticPr fontId="12" type="noConversion"/>
  </si>
  <si>
    <t>实施办法管理信息</t>
    <phoneticPr fontId="12" type="noConversion"/>
  </si>
  <si>
    <t>国家、省、市对服务行业具体实施办法信息</t>
    <phoneticPr fontId="12" type="noConversion"/>
  </si>
  <si>
    <t>部门基础指标信息</t>
    <phoneticPr fontId="12" type="noConversion"/>
  </si>
  <si>
    <t>评价基础指标及基本分值信息</t>
    <phoneticPr fontId="12" type="noConversion"/>
  </si>
  <si>
    <t>部门评价加分项信息</t>
    <phoneticPr fontId="12" type="noConversion"/>
  </si>
  <si>
    <t>部门加分项已确认及应确认数据</t>
    <phoneticPr fontId="12" type="noConversion"/>
  </si>
  <si>
    <t>企业近五年的评价等级及变化情况数据</t>
    <phoneticPr fontId="12" type="noConversion"/>
  </si>
  <si>
    <t>企业基础指标信息</t>
    <phoneticPr fontId="12" type="noConversion"/>
  </si>
  <si>
    <t>企业加分指标信息</t>
    <phoneticPr fontId="12" type="noConversion"/>
  </si>
  <si>
    <t>证明材料信息</t>
    <phoneticPr fontId="12" type="noConversion"/>
  </si>
  <si>
    <t>证明材料上传模板及多格式证明材料信息</t>
    <phoneticPr fontId="12" type="noConversion"/>
  </si>
  <si>
    <t>进度信息</t>
    <phoneticPr fontId="12" type="noConversion"/>
  </si>
  <si>
    <t>各项指标或参评部门审核进度信息</t>
    <phoneticPr fontId="12" type="noConversion"/>
  </si>
  <si>
    <t>驳回原因信息</t>
    <phoneticPr fontId="12" type="noConversion"/>
  </si>
  <si>
    <t>部门驳回信息</t>
    <phoneticPr fontId="12" type="noConversion"/>
  </si>
  <si>
    <t>异议原因信息</t>
    <phoneticPr fontId="12" type="noConversion"/>
  </si>
  <si>
    <t>部门驳回企业异议申请信息</t>
    <phoneticPr fontId="12" type="noConversion"/>
  </si>
  <si>
    <t>基础加分指标信息</t>
    <phoneticPr fontId="12" type="noConversion"/>
  </si>
  <si>
    <t>相关评价协同部门或评价部门发起的采集数据，企业对指标项数据确认信息</t>
    <phoneticPr fontId="12" type="noConversion"/>
  </si>
  <si>
    <t>企业查看企业基础信息</t>
    <phoneticPr fontId="12" type="noConversion"/>
  </si>
  <si>
    <t>模型基础信息</t>
    <phoneticPr fontId="12" type="noConversion"/>
  </si>
  <si>
    <t>企业评价模型基础信息</t>
    <phoneticPr fontId="12" type="noConversion"/>
  </si>
  <si>
    <t>政策依据信息</t>
    <phoneticPr fontId="12" type="noConversion"/>
  </si>
  <si>
    <t>企业评价模型数据结构</t>
    <phoneticPr fontId="12" type="noConversion"/>
  </si>
  <si>
    <t>评价等级信息</t>
    <phoneticPr fontId="12" type="noConversion"/>
  </si>
  <si>
    <t>评价结果导出模板及等级结果信息</t>
    <phoneticPr fontId="12" type="noConversion"/>
  </si>
  <si>
    <t>基础指标得分信息</t>
    <phoneticPr fontId="12" type="noConversion"/>
  </si>
  <si>
    <t>加分项指标得分信息</t>
    <phoneticPr fontId="12" type="noConversion"/>
  </si>
  <si>
    <t>加分项指标得分信息</t>
    <phoneticPr fontId="12" type="noConversion"/>
  </si>
  <si>
    <t>通知信息</t>
    <phoneticPr fontId="12" type="noConversion"/>
  </si>
  <si>
    <t>当前以及历史的通知信息</t>
    <phoneticPr fontId="12" type="noConversion"/>
  </si>
  <si>
    <t>公告信息</t>
    <phoneticPr fontId="12" type="noConversion"/>
  </si>
  <si>
    <t>当前以及历史的公告信息</t>
    <phoneticPr fontId="12" type="noConversion"/>
  </si>
  <si>
    <t>政策信息</t>
    <phoneticPr fontId="12" type="noConversion"/>
  </si>
  <si>
    <t>政府或部门相关政策信息</t>
    <phoneticPr fontId="12" type="noConversion"/>
  </si>
  <si>
    <t>法规信息</t>
    <phoneticPr fontId="12" type="noConversion"/>
  </si>
  <si>
    <t>政府或部门相关法规信息</t>
    <phoneticPr fontId="12" type="noConversion"/>
  </si>
  <si>
    <t>验证信息</t>
    <phoneticPr fontId="12" type="noConversion"/>
  </si>
  <si>
    <t>企业用户、政府部门用户管理信息</t>
    <phoneticPr fontId="12" type="noConversion"/>
  </si>
  <si>
    <t>机构代码、机构名称、机构层级、机构类型、机构简称等机构信息及机构管理信息</t>
    <phoneticPr fontId="12" type="noConversion"/>
  </si>
  <si>
    <t>管理员、领导、市级部门、县区级部门等角色及角色管理信息</t>
    <phoneticPr fontId="12" type="noConversion"/>
  </si>
  <si>
    <t>对角色、用户分配权限信息</t>
    <phoneticPr fontId="12" type="noConversion"/>
  </si>
  <si>
    <t>菜单名称、菜单归属、菜单描述等菜单信息及菜单管理信息</t>
    <phoneticPr fontId="12" type="noConversion"/>
  </si>
  <si>
    <t>消息通知信息</t>
    <phoneticPr fontId="12" type="noConversion"/>
  </si>
  <si>
    <t>面向企业、产业集聚区、政务用户消息服务信息</t>
    <phoneticPr fontId="12" type="noConversion"/>
  </si>
  <si>
    <t>序号</t>
    <phoneticPr fontId="12" type="noConversion"/>
  </si>
  <si>
    <t>功能模块名称</t>
    <phoneticPr fontId="12" type="noConversion"/>
  </si>
  <si>
    <t>功能子模块名称</t>
    <phoneticPr fontId="12" type="noConversion"/>
  </si>
  <si>
    <t>功能点计数项名称</t>
    <phoneticPr fontId="12" type="noConversion"/>
  </si>
  <si>
    <t>功能点说明</t>
    <phoneticPr fontId="12" type="noConversion"/>
  </si>
  <si>
    <t>功能点类型</t>
    <phoneticPr fontId="12" type="noConversion"/>
  </si>
  <si>
    <t>功能点数</t>
    <phoneticPr fontId="12" type="noConversion"/>
  </si>
  <si>
    <t>功能点</t>
    <phoneticPr fontId="12" type="noConversion"/>
  </si>
  <si>
    <t>功能点数</t>
    <phoneticPr fontId="14" type="noConversion"/>
  </si>
  <si>
    <t>功能点耗时率（小时/功能点）</t>
    <phoneticPr fontId="14" type="noConversion"/>
  </si>
  <si>
    <t>规模变更因子</t>
    <phoneticPr fontId="14" type="noConversion"/>
  </si>
  <si>
    <t>应用领域调整因子</t>
    <phoneticPr fontId="14" type="noConversion"/>
  </si>
  <si>
    <t>人月折算系数</t>
    <phoneticPr fontId="14" type="noConversion"/>
  </si>
  <si>
    <t>工作量=（功能点数*功能点耗时率*规模变更因子*应用领域调整因子/人月折算系统）</t>
    <phoneticPr fontId="14" type="noConversion"/>
  </si>
  <si>
    <t>人工费（万元/人月）</t>
    <phoneticPr fontId="14" type="noConversion"/>
  </si>
  <si>
    <t>合价（万元）</t>
    <phoneticPr fontId="14" type="noConversion"/>
  </si>
  <si>
    <t>备注</t>
    <phoneticPr fontId="14" type="noConversion"/>
  </si>
  <si>
    <t>（二）</t>
    <phoneticPr fontId="12" type="noConversion"/>
  </si>
  <si>
    <t>(三)</t>
    <phoneticPr fontId="12" type="noConversion"/>
  </si>
  <si>
    <t>服务业评价综合管理系统</t>
    <phoneticPr fontId="12" type="noConversion"/>
  </si>
  <si>
    <t>参评企业服务系统</t>
    <phoneticPr fontId="12" type="noConversion"/>
  </si>
  <si>
    <t>认证服务管理系统</t>
    <phoneticPr fontId="12" type="noConversion"/>
  </si>
  <si>
    <t>总计</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</si>
</sst>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_ "/>
    <numFmt numFmtId="177" formatCode="0.000_ "/>
    <numFmt numFmtId="178" formatCode="0.00_);[Red]\(0.00\)"/>
    <numFmt numFmtId="179" formatCode="0_ "/>
    <numFmt numFmtId="180" formatCode="0.0%"/>
  </numFmts>
  <fonts count="16" x14ac:knownFonts="1">
    <font>
      <sz val="11"/>
      <color theme="1"/>
      <name val="宋体"/>
      <charset val="134"/>
      <scheme val="minor"/>
    </font>
    <font>
      <sz val="9"/>
      <color theme="1"/>
      <name val="宋体"/>
      <family val="3"/>
      <charset val="134"/>
      <scheme val="minor"/>
    </font>
    <font>
      <b/>
      <sz val="9"/>
      <color theme="1"/>
      <name val="宋体"/>
      <family val="3"/>
      <charset val="134"/>
    </font>
    <font>
      <sz val="9"/>
      <color theme="1"/>
      <name val="宋体"/>
      <family val="3"/>
      <charset val="134"/>
    </font>
    <font>
      <sz val="9"/>
      <color rgb="FF000000"/>
      <name val="宋体"/>
      <family val="3"/>
      <charset val="134"/>
      <scheme val="minor"/>
    </font>
    <font>
      <b/>
      <sz val="9"/>
      <color theme="1"/>
      <name val="宋体"/>
      <family val="3"/>
      <charset val="134"/>
      <scheme val="minor"/>
    </font>
    <font>
      <sz val="9"/>
      <color rgb="FF000000"/>
      <name val="宋体"/>
      <family val="3"/>
      <charset val="134"/>
    </font>
    <font>
      <b/>
      <sz val="11"/>
      <color theme="1"/>
      <name val="宋体"/>
      <family val="3"/>
      <charset val="134"/>
      <scheme val="minor"/>
    </font>
    <font>
      <sz val="12"/>
      <name val="宋体"/>
      <family val="3"/>
      <charset val="134"/>
    </font>
    <font>
      <b/>
      <sz val="9"/>
      <name val="宋体"/>
      <family val="3"/>
      <charset val="134"/>
    </font>
    <font>
      <sz val="9"/>
      <name val="宋体"/>
      <family val="3"/>
      <charset val="134"/>
    </font>
    <font>
      <sz val="11"/>
      <color theme="1"/>
      <name val="宋体"/>
      <family val="3"/>
      <charset val="134"/>
      <scheme val="minor"/>
    </font>
    <font>
      <sz val="9"/>
      <name val="宋体"/>
      <family val="3"/>
      <charset val="134"/>
      <scheme val="minor"/>
    </font>
    <font>
      <sz val="16"/>
      <color rgb="FF000000"/>
      <name val="Lucida Sans Unicode"/>
      <family val="2"/>
    </font>
    <font>
      <sz val="9"/>
      <name val="宋体"/>
      <family val="2"/>
      <charset val="134"/>
      <scheme val="minor"/>
    </font>
    <font>
      <sz val="12"/>
      <color theme="1"/>
      <name val="宋体"/>
      <family val="3"/>
      <charset val="134"/>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bottom style="thin">
        <color auto="1"/>
      </bottom>
      <diagonal/>
    </border>
    <border>
      <left/>
      <right/>
      <top/>
      <bottom style="thin">
        <color auto="1"/>
      </bottom>
      <diagonal/>
    </border>
  </borders>
  <cellStyleXfs count="5">
    <xf numFmtId="0" fontId="0" fillId="0" borderId="0">
      <alignment vertical="center"/>
    </xf>
    <xf numFmtId="9" fontId="11" fillId="0" borderId="0" applyFont="0" applyFill="0" applyBorder="0" applyAlignment="0" applyProtection="0">
      <alignment vertical="center"/>
    </xf>
    <xf numFmtId="0" fontId="8" fillId="0" borderId="0"/>
    <xf numFmtId="0" fontId="8" fillId="0" borderId="0"/>
    <xf numFmtId="0" fontId="11" fillId="0" borderId="0">
      <alignment vertical="center"/>
    </xf>
  </cellStyleXfs>
  <cellXfs count="86">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1" fillId="0" borderId="1" xfId="0" applyFont="1" applyBorder="1" applyAlignment="1">
      <alignment vertical="center" wrapText="1"/>
    </xf>
    <xf numFmtId="0" fontId="4" fillId="0" borderId="1" xfId="0" applyFont="1" applyBorder="1" applyAlignment="1">
      <alignment vertical="center" wrapText="1"/>
    </xf>
    <xf numFmtId="0" fontId="1" fillId="0" borderId="0" xfId="0" applyFont="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7" fillId="0" borderId="0" xfId="0" applyFont="1" applyAlignment="1">
      <alignment vertical="center" wrapText="1"/>
    </xf>
    <xf numFmtId="0" fontId="7" fillId="0" borderId="0" xfId="0" applyFont="1">
      <alignment vertical="center"/>
    </xf>
    <xf numFmtId="178" fontId="7" fillId="0" borderId="0" xfId="0" applyNumberFormat="1" applyFont="1" applyAlignment="1">
      <alignment horizontal="center" vertical="center"/>
    </xf>
    <xf numFmtId="0" fontId="0" fillId="0" borderId="0" xfId="0" applyAlignment="1">
      <alignment horizontal="right" vertical="center"/>
    </xf>
    <xf numFmtId="179" fontId="7" fillId="0" borderId="1" xfId="0" applyNumberFormat="1" applyFont="1" applyBorder="1">
      <alignment vertical="center"/>
    </xf>
    <xf numFmtId="177" fontId="0" fillId="0" borderId="1" xfId="0" applyNumberFormat="1" applyBorder="1" applyAlignment="1">
      <alignment horizontal="center" vertical="center"/>
    </xf>
    <xf numFmtId="177" fontId="7" fillId="0" borderId="1" xfId="0" applyNumberFormat="1" applyFont="1" applyBorder="1" applyAlignment="1">
      <alignment horizontal="center" vertical="center"/>
    </xf>
    <xf numFmtId="180" fontId="7" fillId="0" borderId="0" xfId="1" applyNumberFormat="1" applyFont="1">
      <alignment vertical="center"/>
    </xf>
    <xf numFmtId="176" fontId="7" fillId="0" borderId="1" xfId="0" applyNumberFormat="1" applyFont="1" applyBorder="1" applyAlignment="1">
      <alignment horizontal="center" vertical="center"/>
    </xf>
    <xf numFmtId="179" fontId="7" fillId="0" borderId="1" xfId="0" applyNumberFormat="1" applyFont="1" applyBorder="1" applyAlignment="1">
      <alignment horizontal="center" vertical="center"/>
    </xf>
    <xf numFmtId="0" fontId="0" fillId="0" borderId="1" xfId="0" applyBorder="1" applyAlignment="1">
      <alignment vertical="center" wrapText="1"/>
    </xf>
    <xf numFmtId="179" fontId="0" fillId="0" borderId="1" xfId="0" applyNumberFormat="1" applyBorder="1" applyAlignment="1">
      <alignment horizontal="center" vertical="center"/>
    </xf>
    <xf numFmtId="0" fontId="0" fillId="0" borderId="8" xfId="0" applyBorder="1" applyAlignment="1">
      <alignment vertical="center" wrapText="1"/>
    </xf>
    <xf numFmtId="0" fontId="0" fillId="0" borderId="0" xfId="0" applyAlignment="1">
      <alignment vertical="center" wrapText="1"/>
    </xf>
    <xf numFmtId="0" fontId="1" fillId="0" borderId="3" xfId="0" applyFont="1" applyBorder="1" applyAlignment="1">
      <alignment vertical="center" wrapText="1"/>
    </xf>
    <xf numFmtId="0" fontId="4" fillId="0" borderId="1" xfId="0" applyFont="1" applyBorder="1" applyAlignment="1">
      <alignment horizontal="left" vertical="center" wrapText="1"/>
    </xf>
    <xf numFmtId="0" fontId="1" fillId="0" borderId="3" xfId="0" applyFont="1" applyBorder="1" applyAlignment="1">
      <alignment horizontal="left" vertical="center" wrapText="1"/>
    </xf>
    <xf numFmtId="0" fontId="3"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2" xfId="0" applyFont="1" applyBorder="1" applyAlignment="1">
      <alignment horizontal="center" vertical="center" wrapText="1"/>
    </xf>
    <xf numFmtId="0" fontId="1" fillId="0" borderId="2" xfId="0" applyFont="1" applyBorder="1" applyAlignment="1">
      <alignment horizontal="center" vertical="center"/>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 xfId="0" applyFont="1" applyBorder="1" applyAlignment="1">
      <alignment vertical="center" wrapText="1"/>
    </xf>
    <xf numFmtId="0" fontId="1" fillId="0" borderId="1" xfId="0" applyFont="1" applyBorder="1" applyAlignment="1">
      <alignment horizontal="center" vertical="center"/>
    </xf>
    <xf numFmtId="0" fontId="4" fillId="0" borderId="1" xfId="0" applyFont="1" applyBorder="1" applyAlignment="1">
      <alignment horizontal="center" vertical="center" wrapText="1"/>
    </xf>
    <xf numFmtId="0" fontId="6" fillId="0" borderId="1" xfId="0" applyFont="1" applyBorder="1" applyAlignment="1">
      <alignment vertical="center" wrapText="1"/>
    </xf>
    <xf numFmtId="0" fontId="3" fillId="0" borderId="3" xfId="0" applyFont="1" applyBorder="1" applyAlignment="1">
      <alignment horizontal="left" vertical="center" wrapText="1"/>
    </xf>
    <xf numFmtId="0" fontId="1" fillId="0" borderId="3" xfId="0" applyFont="1" applyBorder="1" applyAlignment="1">
      <alignment horizontal="center" vertical="center"/>
    </xf>
    <xf numFmtId="0" fontId="2" fillId="0" borderId="7" xfId="0" applyFont="1" applyBorder="1" applyAlignment="1">
      <alignment horizontal="center" vertical="center" wrapText="1"/>
    </xf>
    <xf numFmtId="0" fontId="5" fillId="0" borderId="1" xfId="0" applyFont="1" applyBorder="1">
      <alignment vertical="center"/>
    </xf>
    <xf numFmtId="0" fontId="5" fillId="0" borderId="0" xfId="0" applyFont="1">
      <alignment vertical="center"/>
    </xf>
    <xf numFmtId="0" fontId="15" fillId="0" borderId="1" xfId="0" applyFont="1" applyBorder="1" applyAlignment="1">
      <alignment horizontal="center" vertical="center" wrapText="1"/>
    </xf>
    <xf numFmtId="178" fontId="15" fillId="0" borderId="1" xfId="0" applyNumberFormat="1" applyFont="1" applyBorder="1" applyAlignment="1">
      <alignment horizontal="center" vertical="center" wrapText="1"/>
    </xf>
    <xf numFmtId="176" fontId="15" fillId="0" borderId="1" xfId="0" applyNumberFormat="1" applyFont="1" applyBorder="1" applyAlignment="1">
      <alignment horizontal="center" vertical="center" wrapText="1"/>
    </xf>
    <xf numFmtId="2" fontId="15" fillId="0" borderId="1" xfId="0" applyNumberFormat="1" applyFont="1" applyBorder="1" applyAlignment="1">
      <alignment horizontal="center" vertical="center" wrapText="1"/>
    </xf>
    <xf numFmtId="0" fontId="11" fillId="0" borderId="1" xfId="0" applyFont="1" applyBorder="1" applyAlignment="1">
      <alignment horizontal="center" vertical="center"/>
    </xf>
    <xf numFmtId="176" fontId="15" fillId="0" borderId="5" xfId="0" applyNumberFormat="1" applyFont="1" applyBorder="1" applyAlignment="1">
      <alignment horizontal="center" vertical="center" wrapText="1"/>
    </xf>
    <xf numFmtId="176" fontId="0" fillId="0" borderId="5" xfId="0" applyNumberFormat="1" applyBorder="1">
      <alignment vertical="center"/>
    </xf>
    <xf numFmtId="179" fontId="2" fillId="0" borderId="1" xfId="0" applyNumberFormat="1" applyFont="1" applyBorder="1" applyAlignment="1">
      <alignment horizontal="center" vertical="center" wrapText="1"/>
    </xf>
    <xf numFmtId="179" fontId="1" fillId="0" borderId="0" xfId="0" applyNumberFormat="1" applyFont="1">
      <alignment vertical="center"/>
    </xf>
    <xf numFmtId="0" fontId="2"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11"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5" xfId="0" applyFont="1" applyBorder="1" applyAlignment="1">
      <alignment horizontal="left" vertical="center"/>
    </xf>
    <xf numFmtId="0" fontId="7" fillId="0" borderId="6" xfId="0" applyFont="1" applyBorder="1" applyAlignment="1">
      <alignment horizontal="left" vertical="center"/>
    </xf>
    <xf numFmtId="0" fontId="7" fillId="0" borderId="7" xfId="0" applyFont="1" applyBorder="1" applyAlignment="1">
      <alignment horizontal="left" vertical="center"/>
    </xf>
    <xf numFmtId="0" fontId="6" fillId="0" borderId="4" xfId="0" applyFont="1" applyBorder="1" applyAlignment="1">
      <alignment horizontal="center" vertical="center" wrapText="1"/>
    </xf>
    <xf numFmtId="0" fontId="6"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6" fillId="0" borderId="2" xfId="0" applyFont="1" applyBorder="1" applyAlignment="1">
      <alignment horizontal="center" vertical="center" wrapText="1"/>
    </xf>
    <xf numFmtId="0" fontId="1" fillId="0" borderId="4" xfId="0" applyFont="1" applyBorder="1" applyAlignment="1">
      <alignment horizontal="center" vertical="center"/>
    </xf>
    <xf numFmtId="0" fontId="3" fillId="0" borderId="1" xfId="0" applyFont="1" applyBorder="1" applyAlignment="1">
      <alignment horizontal="center" vertical="center" wrapText="1"/>
    </xf>
    <xf numFmtId="0" fontId="5" fillId="0" borderId="10" xfId="0" applyFont="1" applyBorder="1" applyAlignment="1">
      <alignment horizontal="left" vertical="center"/>
    </xf>
    <xf numFmtId="0" fontId="5" fillId="0" borderId="9" xfId="0" applyFont="1" applyBorder="1" applyAlignment="1">
      <alignment horizontal="left" vertical="center"/>
    </xf>
    <xf numFmtId="0" fontId="6" fillId="0" borderId="1" xfId="0" applyFont="1" applyBorder="1" applyAlignment="1">
      <alignment horizontal="center" vertical="center" wrapText="1"/>
    </xf>
    <xf numFmtId="0" fontId="1" fillId="0" borderId="1" xfId="0" applyFont="1" applyBorder="1" applyAlignment="1">
      <alignment horizontal="center" vertical="center" wrapText="1"/>
    </xf>
    <xf numFmtId="0" fontId="5" fillId="0" borderId="5" xfId="0" applyFont="1" applyBorder="1" applyAlignment="1">
      <alignment horizontal="left" vertical="center"/>
    </xf>
    <xf numFmtId="0" fontId="5" fillId="0" borderId="6" xfId="0" applyFont="1" applyBorder="1" applyAlignment="1">
      <alignment horizontal="left" vertical="center"/>
    </xf>
    <xf numFmtId="0" fontId="5" fillId="0" borderId="7" xfId="0" applyFont="1" applyBorder="1" applyAlignment="1">
      <alignment horizontal="left" vertical="center"/>
    </xf>
    <xf numFmtId="0" fontId="4" fillId="0" borderId="1" xfId="0" applyFont="1" applyBorder="1" applyAlignment="1">
      <alignment horizontal="left" vertical="center" wrapText="1"/>
    </xf>
    <xf numFmtId="0" fontId="6" fillId="0" borderId="1" xfId="0" applyFont="1" applyBorder="1" applyAlignment="1">
      <alignment horizontal="left" vertical="center" wrapText="1"/>
    </xf>
    <xf numFmtId="0" fontId="1" fillId="0" borderId="1" xfId="0" applyFont="1" applyBorder="1" applyAlignment="1">
      <alignment vertical="center" wrapText="1"/>
    </xf>
    <xf numFmtId="0" fontId="5" fillId="0" borderId="1" xfId="0" applyFont="1" applyBorder="1" applyAlignment="1">
      <alignment horizontal="left" vertical="center"/>
    </xf>
  </cellXfs>
  <cellStyles count="5">
    <cellStyle name="百分比" xfId="1" builtinId="5"/>
    <cellStyle name="常规" xfId="0" builtinId="0"/>
    <cellStyle name="常规 2 3" xfId="3" xr:uid="{00000000-0005-0000-0000-000002000000}"/>
    <cellStyle name="常规 3" xfId="4" xr:uid="{00000000-0005-0000-0000-000003000000}"/>
    <cellStyle name="常规 3 2" xfId="2" xr:uid="{00000000-0005-0000-0000-000004000000}"/>
  </cellStyles>
  <dxfs count="28">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
  <sheetViews>
    <sheetView workbookViewId="0">
      <selection activeCell="C8" sqref="C8"/>
    </sheetView>
  </sheetViews>
  <sheetFormatPr defaultColWidth="14.796875" defaultRowHeight="13.5" x14ac:dyDescent="0.3"/>
  <cols>
    <col min="1" max="1" width="7.53125" style="14" customWidth="1"/>
    <col min="2" max="2" width="33.59765625" style="14" customWidth="1"/>
    <col min="3" max="3" width="21.19921875" style="15" customWidth="1"/>
    <col min="4" max="4" width="25.19921875" style="14" customWidth="1"/>
    <col min="5" max="16384" width="14.796875" style="14"/>
  </cols>
  <sheetData>
    <row r="1" spans="1:5" x14ac:dyDescent="0.3">
      <c r="A1"/>
      <c r="B1"/>
      <c r="C1"/>
      <c r="D1" s="16" t="s">
        <v>0</v>
      </c>
    </row>
    <row r="2" spans="1:5" s="13" customFormat="1" ht="31.5" customHeight="1" x14ac:dyDescent="0.3">
      <c r="A2" s="9" t="s">
        <v>1</v>
      </c>
      <c r="B2" s="9" t="s">
        <v>2</v>
      </c>
      <c r="C2" s="9" t="s">
        <v>3</v>
      </c>
      <c r="D2" s="9" t="s">
        <v>4</v>
      </c>
    </row>
    <row r="3" spans="1:5" x14ac:dyDescent="0.3">
      <c r="A3" s="10" t="s">
        <v>5</v>
      </c>
      <c r="B3" s="10" t="s">
        <v>6</v>
      </c>
      <c r="C3" s="17"/>
      <c r="D3" s="12"/>
    </row>
    <row r="4" spans="1:5" x14ac:dyDescent="0.3">
      <c r="A4" s="11" t="s">
        <v>7</v>
      </c>
      <c r="B4" s="11" t="s">
        <v>8</v>
      </c>
      <c r="C4" s="18"/>
      <c r="D4" s="12"/>
    </row>
    <row r="5" spans="1:5" x14ac:dyDescent="0.3">
      <c r="A5" s="11" t="s">
        <v>9</v>
      </c>
      <c r="B5" s="11" t="s">
        <v>10</v>
      </c>
      <c r="C5" s="18">
        <f>应用系统定制开发工作量汇总附表2!E6</f>
        <v>0</v>
      </c>
      <c r="D5" s="12"/>
    </row>
    <row r="6" spans="1:5" x14ac:dyDescent="0.3">
      <c r="A6" s="11" t="s">
        <v>11</v>
      </c>
      <c r="B6" s="11" t="s">
        <v>12</v>
      </c>
      <c r="C6" s="18"/>
      <c r="D6" s="12"/>
    </row>
    <row r="7" spans="1:5" x14ac:dyDescent="0.3">
      <c r="A7" s="11" t="s">
        <v>13</v>
      </c>
      <c r="B7" s="11" t="s">
        <v>14</v>
      </c>
      <c r="C7" s="18"/>
      <c r="D7" s="12"/>
    </row>
    <row r="8" spans="1:5" x14ac:dyDescent="0.3">
      <c r="A8" s="11" t="s">
        <v>15</v>
      </c>
      <c r="B8" s="11" t="s">
        <v>16</v>
      </c>
      <c r="C8" s="18"/>
      <c r="D8" s="12"/>
    </row>
    <row r="9" spans="1:5" x14ac:dyDescent="0.3">
      <c r="A9" s="58" t="s">
        <v>17</v>
      </c>
      <c r="B9" s="58"/>
      <c r="C9" s="19"/>
      <c r="D9" s="12"/>
      <c r="E9" s="20"/>
    </row>
    <row r="10" spans="1:5" x14ac:dyDescent="0.3">
      <c r="A10" s="10" t="s">
        <v>18</v>
      </c>
      <c r="B10" s="10" t="s">
        <v>19</v>
      </c>
      <c r="C10" s="21"/>
      <c r="D10" s="12"/>
    </row>
    <row r="11" spans="1:5" x14ac:dyDescent="0.3">
      <c r="A11" s="11" t="s">
        <v>7</v>
      </c>
      <c r="B11" s="11" t="s">
        <v>20</v>
      </c>
      <c r="C11" s="18"/>
      <c r="D11" s="12"/>
    </row>
    <row r="12" spans="1:5" x14ac:dyDescent="0.3">
      <c r="A12" s="11" t="s">
        <v>9</v>
      </c>
      <c r="B12" s="11" t="s">
        <v>21</v>
      </c>
      <c r="C12" s="18"/>
      <c r="D12" s="12"/>
    </row>
    <row r="13" spans="1:5" x14ac:dyDescent="0.3">
      <c r="A13" s="58" t="s">
        <v>22</v>
      </c>
      <c r="B13" s="58"/>
      <c r="C13" s="19"/>
      <c r="D13" s="12"/>
      <c r="E13" s="20"/>
    </row>
    <row r="14" spans="1:5" ht="27" x14ac:dyDescent="0.3">
      <c r="A14" s="10" t="s">
        <v>23</v>
      </c>
      <c r="B14" s="10" t="s">
        <v>24</v>
      </c>
      <c r="C14" s="22"/>
      <c r="D14" s="23" t="s">
        <v>25</v>
      </c>
    </row>
    <row r="15" spans="1:5" x14ac:dyDescent="0.3">
      <c r="A15" s="11" t="s">
        <v>7</v>
      </c>
      <c r="B15" s="11" t="s">
        <v>26</v>
      </c>
      <c r="C15" s="24">
        <v>0</v>
      </c>
      <c r="D15" s="12"/>
    </row>
    <row r="16" spans="1:5" x14ac:dyDescent="0.3">
      <c r="A16" s="11" t="s">
        <v>9</v>
      </c>
      <c r="B16" s="11" t="s">
        <v>27</v>
      </c>
      <c r="C16" s="24">
        <v>0</v>
      </c>
      <c r="D16" s="12"/>
    </row>
    <row r="17" spans="1:5" x14ac:dyDescent="0.3">
      <c r="A17" s="11" t="s">
        <v>11</v>
      </c>
      <c r="B17" s="11" t="s">
        <v>28</v>
      </c>
      <c r="C17" s="24">
        <v>0</v>
      </c>
      <c r="D17" s="12"/>
    </row>
    <row r="18" spans="1:5" x14ac:dyDescent="0.3">
      <c r="A18" s="11" t="s">
        <v>13</v>
      </c>
      <c r="B18" s="11" t="s">
        <v>29</v>
      </c>
      <c r="C18" s="24">
        <v>0</v>
      </c>
      <c r="D18" s="12"/>
    </row>
    <row r="19" spans="1:5" x14ac:dyDescent="0.3">
      <c r="A19" s="11" t="s">
        <v>15</v>
      </c>
      <c r="B19" s="11" t="s">
        <v>30</v>
      </c>
      <c r="C19" s="24">
        <v>0</v>
      </c>
      <c r="D19" s="12"/>
    </row>
    <row r="20" spans="1:5" x14ac:dyDescent="0.3">
      <c r="A20" s="11" t="s">
        <v>31</v>
      </c>
      <c r="B20" s="11" t="s">
        <v>32</v>
      </c>
      <c r="C20" s="24">
        <v>0</v>
      </c>
      <c r="D20" s="12"/>
    </row>
    <row r="21" spans="1:5" x14ac:dyDescent="0.3">
      <c r="A21" s="11" t="s">
        <v>33</v>
      </c>
      <c r="B21" s="11" t="s">
        <v>34</v>
      </c>
      <c r="C21" s="24">
        <v>0</v>
      </c>
      <c r="D21" s="12"/>
    </row>
    <row r="22" spans="1:5" x14ac:dyDescent="0.3">
      <c r="A22" s="58" t="s">
        <v>35</v>
      </c>
      <c r="B22" s="58"/>
      <c r="C22" s="22">
        <v>0</v>
      </c>
      <c r="D22" s="12"/>
    </row>
    <row r="23" spans="1:5" x14ac:dyDescent="0.3">
      <c r="A23" s="58" t="s">
        <v>36</v>
      </c>
      <c r="B23" s="58"/>
      <c r="C23" s="19">
        <f>C5</f>
        <v>0</v>
      </c>
      <c r="D23" s="12"/>
      <c r="E23" s="20"/>
    </row>
    <row r="24" spans="1:5" x14ac:dyDescent="0.3">
      <c r="A24" s="25"/>
      <c r="B24" s="25"/>
      <c r="C24" s="25"/>
      <c r="D24" s="25"/>
    </row>
    <row r="25" spans="1:5" ht="14" customHeight="1" x14ac:dyDescent="0.3">
      <c r="A25" s="26"/>
      <c r="B25" s="26"/>
      <c r="C25" s="26"/>
      <c r="D25" s="26"/>
    </row>
    <row r="26" spans="1:5" x14ac:dyDescent="0.3">
      <c r="A26" s="26"/>
      <c r="B26" s="26"/>
      <c r="C26" s="26"/>
      <c r="D26" s="26"/>
    </row>
    <row r="27" spans="1:5" x14ac:dyDescent="0.3">
      <c r="A27" s="26"/>
      <c r="B27" s="26"/>
      <c r="C27" s="26"/>
      <c r="D27" s="26"/>
    </row>
    <row r="28" spans="1:5" x14ac:dyDescent="0.3">
      <c r="A28" s="26"/>
      <c r="B28" s="26"/>
      <c r="C28" s="26"/>
      <c r="D28" s="26"/>
    </row>
    <row r="29" spans="1:5" x14ac:dyDescent="0.3">
      <c r="A29" s="26"/>
      <c r="B29" s="26"/>
      <c r="C29" s="26"/>
      <c r="D29" s="26"/>
    </row>
    <row r="30" spans="1:5" x14ac:dyDescent="0.3">
      <c r="A30" s="26"/>
      <c r="B30" s="26"/>
      <c r="C30" s="26"/>
      <c r="D30" s="26"/>
    </row>
    <row r="31" spans="1:5" x14ac:dyDescent="0.3">
      <c r="A31" s="26"/>
      <c r="B31" s="26"/>
      <c r="C31" s="26"/>
      <c r="D31" s="26"/>
    </row>
    <row r="32" spans="1:5" x14ac:dyDescent="0.3">
      <c r="A32" s="26"/>
      <c r="B32" s="26"/>
      <c r="C32" s="26"/>
      <c r="D32" s="26"/>
    </row>
    <row r="33" spans="1:4" x14ac:dyDescent="0.3">
      <c r="A33" s="26"/>
      <c r="B33" s="26"/>
      <c r="C33" s="26"/>
      <c r="D33" s="26"/>
    </row>
    <row r="34" spans="1:4" x14ac:dyDescent="0.3">
      <c r="A34" s="26"/>
      <c r="B34" s="26"/>
      <c r="C34" s="26"/>
      <c r="D34" s="26"/>
    </row>
    <row r="35" spans="1:4" x14ac:dyDescent="0.3">
      <c r="A35" s="26"/>
      <c r="B35" s="26"/>
      <c r="C35" s="26"/>
      <c r="D35" s="26"/>
    </row>
  </sheetData>
  <mergeCells count="4">
    <mergeCell ref="A9:B9"/>
    <mergeCell ref="A13:B13"/>
    <mergeCell ref="A22:B22"/>
    <mergeCell ref="A23:B23"/>
  </mergeCells>
  <phoneticPr fontId="12" type="noConversion"/>
  <pageMargins left="0.7" right="0.7" top="0.75" bottom="0.75" header="0.3" footer="0.3"/>
  <pageSetup paperSize="9"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
  <sheetViews>
    <sheetView tabSelected="1" zoomScale="96" zoomScaleNormal="96" workbookViewId="0">
      <selection activeCell="H5" sqref="H5"/>
    </sheetView>
  </sheetViews>
  <sheetFormatPr defaultColWidth="8.796875" defaultRowHeight="13.5" x14ac:dyDescent="0.3"/>
  <cols>
    <col min="1" max="1" width="7.53125" customWidth="1"/>
    <col min="2" max="2" width="40.19921875" customWidth="1"/>
    <col min="3" max="3" width="10.9296875" customWidth="1"/>
    <col min="4" max="4" width="11.06640625" customWidth="1"/>
    <col min="5" max="5" width="13.46484375" customWidth="1"/>
    <col min="8" max="8" width="12.46484375" customWidth="1"/>
  </cols>
  <sheetData>
    <row r="1" spans="1:11" ht="141.5" customHeight="1" x14ac:dyDescent="0.3">
      <c r="A1" s="57" t="s">
        <v>1</v>
      </c>
      <c r="B1" s="57" t="s">
        <v>2</v>
      </c>
      <c r="C1" s="45" t="s">
        <v>345</v>
      </c>
      <c r="D1" s="45" t="s">
        <v>346</v>
      </c>
      <c r="E1" s="45" t="s">
        <v>347</v>
      </c>
      <c r="F1" s="45" t="s">
        <v>348</v>
      </c>
      <c r="G1" s="45" t="s">
        <v>349</v>
      </c>
      <c r="H1" s="45" t="s">
        <v>350</v>
      </c>
      <c r="I1" s="46" t="s">
        <v>351</v>
      </c>
      <c r="J1" s="47" t="s">
        <v>352</v>
      </c>
      <c r="K1" s="45" t="s">
        <v>353</v>
      </c>
    </row>
    <row r="2" spans="1:11" x14ac:dyDescent="0.3">
      <c r="A2" s="10" t="s">
        <v>5</v>
      </c>
      <c r="B2" s="59" t="s">
        <v>10</v>
      </c>
      <c r="C2" s="60"/>
      <c r="D2" s="60"/>
      <c r="E2" s="60"/>
      <c r="F2" s="60"/>
      <c r="G2" s="60"/>
      <c r="H2" s="60"/>
      <c r="I2" s="60"/>
      <c r="J2" s="61"/>
      <c r="K2" s="12"/>
    </row>
    <row r="3" spans="1:11" ht="15.75" x14ac:dyDescent="0.3">
      <c r="A3" s="11" t="s">
        <v>7</v>
      </c>
      <c r="B3" s="11" t="s">
        <v>37</v>
      </c>
      <c r="C3" s="48">
        <f>'应用系统定制开发工作量明细表3-1-服务业综合评价管理系统'!I2</f>
        <v>1820</v>
      </c>
      <c r="D3" s="47">
        <v>6.65</v>
      </c>
      <c r="E3" s="47">
        <v>1.39</v>
      </c>
      <c r="F3" s="47">
        <v>1</v>
      </c>
      <c r="G3" s="47">
        <v>176</v>
      </c>
      <c r="H3" s="47">
        <f>ROUND(C3*D3*E3*F3/G3,2)</f>
        <v>95.59</v>
      </c>
      <c r="I3" s="46">
        <v>1.8</v>
      </c>
      <c r="J3" s="50">
        <f>ROUND(H3*I3,2)</f>
        <v>172.06</v>
      </c>
      <c r="K3" s="12"/>
    </row>
    <row r="4" spans="1:11" ht="15.75" x14ac:dyDescent="0.3">
      <c r="A4" s="49" t="s">
        <v>354</v>
      </c>
      <c r="B4" s="11" t="s">
        <v>38</v>
      </c>
      <c r="C4" s="48">
        <f>'应用系统定制开发工作量明细表3-2参评企业服务系统'!I2</f>
        <v>400</v>
      </c>
      <c r="D4" s="47">
        <v>6.65</v>
      </c>
      <c r="E4" s="47">
        <v>1.39</v>
      </c>
      <c r="F4" s="47">
        <v>1</v>
      </c>
      <c r="G4" s="47">
        <v>176</v>
      </c>
      <c r="H4" s="47">
        <f t="shared" ref="H4:H5" si="0">ROUND(C4*D4*E4*F4/G4,2)</f>
        <v>21.01</v>
      </c>
      <c r="I4" s="46">
        <v>1.8</v>
      </c>
      <c r="J4" s="50">
        <f t="shared" ref="J4:J5" si="1">ROUND(H4*I4,2)</f>
        <v>37.82</v>
      </c>
      <c r="K4" s="12"/>
    </row>
    <row r="5" spans="1:11" ht="15.75" x14ac:dyDescent="0.3">
      <c r="A5" s="49" t="s">
        <v>355</v>
      </c>
      <c r="B5" s="11" t="s">
        <v>39</v>
      </c>
      <c r="C5" s="48">
        <f>'应用系统定制开发工作量明细表3-3认证服务管理系统'!I2</f>
        <v>205</v>
      </c>
      <c r="D5" s="47">
        <v>6.65</v>
      </c>
      <c r="E5" s="47">
        <v>1.39</v>
      </c>
      <c r="F5" s="47">
        <v>1</v>
      </c>
      <c r="G5" s="47">
        <v>176</v>
      </c>
      <c r="H5" s="47">
        <f t="shared" si="0"/>
        <v>10.77</v>
      </c>
      <c r="I5" s="46">
        <v>1.8</v>
      </c>
      <c r="J5" s="50">
        <f t="shared" si="1"/>
        <v>19.39</v>
      </c>
      <c r="K5" s="12"/>
    </row>
    <row r="6" spans="1:11" x14ac:dyDescent="0.3">
      <c r="A6" s="58" t="s">
        <v>359</v>
      </c>
      <c r="B6" s="58"/>
      <c r="C6" s="58"/>
      <c r="D6" s="58"/>
      <c r="E6" s="58"/>
      <c r="F6" s="58"/>
      <c r="G6" s="58"/>
      <c r="H6" s="58"/>
      <c r="I6" s="58"/>
      <c r="J6" s="51">
        <f>SUM(J3:J5)</f>
        <v>229.26999999999998</v>
      </c>
      <c r="K6" s="12"/>
    </row>
  </sheetData>
  <mergeCells count="2">
    <mergeCell ref="A6:I6"/>
    <mergeCell ref="B2:J2"/>
  </mergeCells>
  <phoneticPr fontId="1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48550"/>
  <sheetViews>
    <sheetView topLeftCell="B1" workbookViewId="0">
      <selection activeCell="J8" sqref="J8"/>
    </sheetView>
  </sheetViews>
  <sheetFormatPr defaultColWidth="8.9296875" defaultRowHeight="11.25" x14ac:dyDescent="0.3"/>
  <cols>
    <col min="1" max="1" width="5" style="1" customWidth="1"/>
    <col min="2" max="2" width="8.59765625" style="1" customWidth="1"/>
    <col min="3" max="3" width="13.53125" style="1" customWidth="1"/>
    <col min="4" max="4" width="13.33203125" style="1" customWidth="1"/>
    <col min="5" max="5" width="21.19921875" style="8" customWidth="1"/>
    <col min="6" max="6" width="43.796875" style="1" customWidth="1"/>
    <col min="7" max="7" width="7.06640625" style="1" customWidth="1"/>
    <col min="8" max="8" width="6.796875" style="1" customWidth="1"/>
    <col min="9" max="9" width="7.33203125" style="1" customWidth="1"/>
    <col min="10" max="16384" width="8.9296875" style="1"/>
  </cols>
  <sheetData>
    <row r="1" spans="1:9" ht="22.5" x14ac:dyDescent="0.3">
      <c r="A1" s="43" t="s">
        <v>337</v>
      </c>
      <c r="B1" s="2" t="s">
        <v>40</v>
      </c>
      <c r="C1" s="2" t="s">
        <v>338</v>
      </c>
      <c r="D1" s="2" t="s">
        <v>339</v>
      </c>
      <c r="E1" s="2" t="s">
        <v>340</v>
      </c>
      <c r="F1" s="2" t="s">
        <v>341</v>
      </c>
      <c r="G1" s="2" t="s">
        <v>342</v>
      </c>
      <c r="H1" s="2" t="s">
        <v>41</v>
      </c>
      <c r="I1" s="2" t="s">
        <v>343</v>
      </c>
    </row>
    <row r="2" spans="1:9" x14ac:dyDescent="0.3">
      <c r="A2" s="75" t="s">
        <v>356</v>
      </c>
      <c r="B2" s="75"/>
      <c r="C2" s="75"/>
      <c r="D2" s="75"/>
      <c r="E2" s="75"/>
      <c r="F2" s="75"/>
      <c r="G2" s="75"/>
      <c r="H2" s="76"/>
      <c r="I2" s="52">
        <f>SUM(I3:I90)</f>
        <v>1820</v>
      </c>
    </row>
    <row r="3" spans="1:9" ht="14.45" customHeight="1" x14ac:dyDescent="0.3">
      <c r="A3" s="37">
        <v>1</v>
      </c>
      <c r="B3" s="74" t="s">
        <v>356</v>
      </c>
      <c r="C3" s="64" t="s">
        <v>42</v>
      </c>
      <c r="D3" s="67" t="s">
        <v>43</v>
      </c>
      <c r="E3" s="28" t="s">
        <v>122</v>
      </c>
      <c r="F3" s="4" t="s">
        <v>123</v>
      </c>
      <c r="G3" s="4" t="s">
        <v>44</v>
      </c>
      <c r="H3" s="5">
        <f>IF(G3="ILF",35,IF(G3="EIF",15,""))</f>
        <v>15</v>
      </c>
      <c r="I3" s="5">
        <v>15</v>
      </c>
    </row>
    <row r="4" spans="1:9" ht="14.45" customHeight="1" x14ac:dyDescent="0.3">
      <c r="A4" s="37">
        <v>2</v>
      </c>
      <c r="B4" s="74"/>
      <c r="C4" s="65"/>
      <c r="D4" s="68"/>
      <c r="E4" s="28" t="s">
        <v>124</v>
      </c>
      <c r="F4" s="4" t="s">
        <v>125</v>
      </c>
      <c r="G4" s="4" t="s">
        <v>44</v>
      </c>
      <c r="H4" s="5">
        <f t="shared" ref="H4:H67" si="0">IF(G4="ILF",35,IF(G4="EIF",15,""))</f>
        <v>15</v>
      </c>
      <c r="I4" s="5">
        <v>15</v>
      </c>
    </row>
    <row r="5" spans="1:9" x14ac:dyDescent="0.3">
      <c r="A5" s="37">
        <v>3</v>
      </c>
      <c r="B5" s="74"/>
      <c r="C5" s="65"/>
      <c r="D5" s="68"/>
      <c r="E5" s="28" t="s">
        <v>126</v>
      </c>
      <c r="F5" s="4" t="s">
        <v>127</v>
      </c>
      <c r="G5" s="4" t="s">
        <v>44</v>
      </c>
      <c r="H5" s="5">
        <f t="shared" si="0"/>
        <v>15</v>
      </c>
      <c r="I5" s="5">
        <v>15</v>
      </c>
    </row>
    <row r="6" spans="1:9" ht="12" customHeight="1" x14ac:dyDescent="0.3">
      <c r="A6" s="37">
        <v>4</v>
      </c>
      <c r="B6" s="74"/>
      <c r="C6" s="66"/>
      <c r="D6" s="69"/>
      <c r="E6" s="28" t="s">
        <v>128</v>
      </c>
      <c r="F6" s="4" t="s">
        <v>129</v>
      </c>
      <c r="G6" s="4" t="s">
        <v>44</v>
      </c>
      <c r="H6" s="5">
        <f t="shared" si="0"/>
        <v>15</v>
      </c>
      <c r="I6" s="5">
        <v>15</v>
      </c>
    </row>
    <row r="7" spans="1:9" ht="12" customHeight="1" x14ac:dyDescent="0.3">
      <c r="A7" s="37">
        <v>5</v>
      </c>
      <c r="B7" s="74"/>
      <c r="C7" s="64" t="s">
        <v>45</v>
      </c>
      <c r="D7" s="64" t="s">
        <v>46</v>
      </c>
      <c r="E7" s="29" t="s">
        <v>130</v>
      </c>
      <c r="F7" s="4" t="s">
        <v>131</v>
      </c>
      <c r="G7" s="4" t="s">
        <v>44</v>
      </c>
      <c r="H7" s="5">
        <f t="shared" si="0"/>
        <v>15</v>
      </c>
      <c r="I7" s="5">
        <v>15</v>
      </c>
    </row>
    <row r="8" spans="1:9" ht="22.5" x14ac:dyDescent="0.3">
      <c r="A8" s="37">
        <v>6</v>
      </c>
      <c r="B8" s="74"/>
      <c r="C8" s="65"/>
      <c r="D8" s="65"/>
      <c r="E8" s="30" t="s">
        <v>132</v>
      </c>
      <c r="F8" s="4" t="s">
        <v>133</v>
      </c>
      <c r="G8" s="4" t="s">
        <v>44</v>
      </c>
      <c r="H8" s="5">
        <f t="shared" si="0"/>
        <v>15</v>
      </c>
      <c r="I8" s="5">
        <v>15</v>
      </c>
    </row>
    <row r="9" spans="1:9" x14ac:dyDescent="0.3">
      <c r="A9" s="37">
        <v>7</v>
      </c>
      <c r="B9" s="74"/>
      <c r="C9" s="65"/>
      <c r="D9" s="65"/>
      <c r="E9" s="30" t="s">
        <v>134</v>
      </c>
      <c r="F9" s="4" t="s">
        <v>135</v>
      </c>
      <c r="G9" s="4" t="s">
        <v>44</v>
      </c>
      <c r="H9" s="5">
        <f t="shared" si="0"/>
        <v>15</v>
      </c>
      <c r="I9" s="5">
        <v>15</v>
      </c>
    </row>
    <row r="10" spans="1:9" x14ac:dyDescent="0.3">
      <c r="A10" s="37">
        <v>8</v>
      </c>
      <c r="B10" s="74"/>
      <c r="C10" s="65"/>
      <c r="D10" s="65"/>
      <c r="E10" s="30" t="s">
        <v>136</v>
      </c>
      <c r="F10" s="4" t="s">
        <v>137</v>
      </c>
      <c r="G10" s="4" t="s">
        <v>44</v>
      </c>
      <c r="H10" s="5">
        <f t="shared" si="0"/>
        <v>15</v>
      </c>
      <c r="I10" s="5">
        <v>15</v>
      </c>
    </row>
    <row r="11" spans="1:9" x14ac:dyDescent="0.3">
      <c r="A11" s="37">
        <v>9</v>
      </c>
      <c r="B11" s="74"/>
      <c r="C11" s="65"/>
      <c r="D11" s="65"/>
      <c r="E11" s="30" t="s">
        <v>138</v>
      </c>
      <c r="F11" s="4" t="s">
        <v>139</v>
      </c>
      <c r="G11" s="4" t="s">
        <v>44</v>
      </c>
      <c r="H11" s="5">
        <f t="shared" si="0"/>
        <v>15</v>
      </c>
      <c r="I11" s="5">
        <v>15</v>
      </c>
    </row>
    <row r="12" spans="1:9" x14ac:dyDescent="0.3">
      <c r="A12" s="37">
        <v>10</v>
      </c>
      <c r="B12" s="74"/>
      <c r="C12" s="65"/>
      <c r="D12" s="65"/>
      <c r="E12" s="30" t="s">
        <v>140</v>
      </c>
      <c r="F12" s="4" t="s">
        <v>141</v>
      </c>
      <c r="G12" s="4" t="s">
        <v>44</v>
      </c>
      <c r="H12" s="5">
        <f t="shared" si="0"/>
        <v>15</v>
      </c>
      <c r="I12" s="5">
        <v>15</v>
      </c>
    </row>
    <row r="13" spans="1:9" x14ac:dyDescent="0.3">
      <c r="A13" s="37">
        <v>11</v>
      </c>
      <c r="B13" s="74"/>
      <c r="C13" s="65"/>
      <c r="D13" s="66"/>
      <c r="E13" s="30" t="s">
        <v>142</v>
      </c>
      <c r="F13" s="4" t="s">
        <v>143</v>
      </c>
      <c r="G13" s="4" t="s">
        <v>44</v>
      </c>
      <c r="H13" s="5">
        <f t="shared" si="0"/>
        <v>15</v>
      </c>
      <c r="I13" s="5">
        <v>15</v>
      </c>
    </row>
    <row r="14" spans="1:9" x14ac:dyDescent="0.3">
      <c r="A14" s="37">
        <v>12</v>
      </c>
      <c r="B14" s="74"/>
      <c r="C14" s="65"/>
      <c r="D14" s="64" t="s">
        <v>47</v>
      </c>
      <c r="E14" s="30" t="s">
        <v>144</v>
      </c>
      <c r="F14" s="4" t="s">
        <v>145</v>
      </c>
      <c r="G14" s="4" t="s">
        <v>44</v>
      </c>
      <c r="H14" s="5">
        <f t="shared" si="0"/>
        <v>15</v>
      </c>
      <c r="I14" s="5">
        <v>15</v>
      </c>
    </row>
    <row r="15" spans="1:9" x14ac:dyDescent="0.3">
      <c r="A15" s="37">
        <v>13</v>
      </c>
      <c r="B15" s="74"/>
      <c r="C15" s="65"/>
      <c r="D15" s="65"/>
      <c r="E15" s="30" t="s">
        <v>146</v>
      </c>
      <c r="F15" s="4" t="s">
        <v>147</v>
      </c>
      <c r="G15" s="4" t="s">
        <v>44</v>
      </c>
      <c r="H15" s="5">
        <f t="shared" si="0"/>
        <v>15</v>
      </c>
      <c r="I15" s="5">
        <v>15</v>
      </c>
    </row>
    <row r="16" spans="1:9" x14ac:dyDescent="0.3">
      <c r="A16" s="37">
        <v>14</v>
      </c>
      <c r="B16" s="74"/>
      <c r="C16" s="65"/>
      <c r="D16" s="65"/>
      <c r="E16" s="30" t="s">
        <v>148</v>
      </c>
      <c r="F16" s="4" t="s">
        <v>149</v>
      </c>
      <c r="G16" s="4" t="s">
        <v>44</v>
      </c>
      <c r="H16" s="5">
        <f t="shared" si="0"/>
        <v>15</v>
      </c>
      <c r="I16" s="5">
        <v>15</v>
      </c>
    </row>
    <row r="17" spans="1:9" x14ac:dyDescent="0.3">
      <c r="A17" s="37">
        <v>15</v>
      </c>
      <c r="B17" s="74"/>
      <c r="C17" s="65"/>
      <c r="D17" s="66"/>
      <c r="E17" s="31" t="s">
        <v>150</v>
      </c>
      <c r="F17" s="4" t="s">
        <v>151</v>
      </c>
      <c r="G17" s="4" t="s">
        <v>44</v>
      </c>
      <c r="H17" s="5">
        <f t="shared" si="0"/>
        <v>15</v>
      </c>
      <c r="I17" s="5">
        <v>15</v>
      </c>
    </row>
    <row r="18" spans="1:9" x14ac:dyDescent="0.3">
      <c r="A18" s="37">
        <v>16</v>
      </c>
      <c r="B18" s="74"/>
      <c r="C18" s="65"/>
      <c r="D18" s="64" t="s">
        <v>48</v>
      </c>
      <c r="E18" s="31" t="s">
        <v>152</v>
      </c>
      <c r="F18" s="4" t="s">
        <v>153</v>
      </c>
      <c r="G18" s="4" t="s">
        <v>44</v>
      </c>
      <c r="H18" s="5">
        <f t="shared" si="0"/>
        <v>15</v>
      </c>
      <c r="I18" s="5">
        <v>15</v>
      </c>
    </row>
    <row r="19" spans="1:9" x14ac:dyDescent="0.3">
      <c r="A19" s="37">
        <v>17</v>
      </c>
      <c r="B19" s="74"/>
      <c r="C19" s="65"/>
      <c r="D19" s="65"/>
      <c r="E19" s="31" t="s">
        <v>154</v>
      </c>
      <c r="F19" s="4" t="s">
        <v>155</v>
      </c>
      <c r="G19" s="4" t="s">
        <v>44</v>
      </c>
      <c r="H19" s="5">
        <f t="shared" si="0"/>
        <v>15</v>
      </c>
      <c r="I19" s="5">
        <v>15</v>
      </c>
    </row>
    <row r="20" spans="1:9" x14ac:dyDescent="0.3">
      <c r="A20" s="37">
        <v>18</v>
      </c>
      <c r="B20" s="74"/>
      <c r="C20" s="65"/>
      <c r="D20" s="64" t="s">
        <v>49</v>
      </c>
      <c r="E20" s="31" t="s">
        <v>156</v>
      </c>
      <c r="F20" s="4" t="s">
        <v>157</v>
      </c>
      <c r="G20" s="4" t="s">
        <v>44</v>
      </c>
      <c r="H20" s="5">
        <f t="shared" si="0"/>
        <v>15</v>
      </c>
      <c r="I20" s="5">
        <v>15</v>
      </c>
    </row>
    <row r="21" spans="1:9" ht="22.5" x14ac:dyDescent="0.3">
      <c r="A21" s="37">
        <v>19</v>
      </c>
      <c r="B21" s="74"/>
      <c r="C21" s="65"/>
      <c r="D21" s="65"/>
      <c r="E21" s="31" t="s">
        <v>158</v>
      </c>
      <c r="F21" s="4" t="s">
        <v>159</v>
      </c>
      <c r="G21" s="4" t="s">
        <v>44</v>
      </c>
      <c r="H21" s="5">
        <f t="shared" si="0"/>
        <v>15</v>
      </c>
      <c r="I21" s="5">
        <v>15</v>
      </c>
    </row>
    <row r="22" spans="1:9" x14ac:dyDescent="0.3">
      <c r="A22" s="37">
        <v>20</v>
      </c>
      <c r="B22" s="74"/>
      <c r="C22" s="65"/>
      <c r="D22" s="65"/>
      <c r="E22" s="31" t="s">
        <v>160</v>
      </c>
      <c r="F22" s="4" t="s">
        <v>161</v>
      </c>
      <c r="G22" s="4" t="s">
        <v>44</v>
      </c>
      <c r="H22" s="5">
        <f t="shared" si="0"/>
        <v>15</v>
      </c>
      <c r="I22" s="5">
        <v>15</v>
      </c>
    </row>
    <row r="23" spans="1:9" x14ac:dyDescent="0.3">
      <c r="A23" s="37">
        <v>21</v>
      </c>
      <c r="B23" s="74"/>
      <c r="C23" s="65"/>
      <c r="D23" s="65"/>
      <c r="E23" s="31" t="s">
        <v>138</v>
      </c>
      <c r="F23" s="4" t="s">
        <v>162</v>
      </c>
      <c r="G23" s="4" t="s">
        <v>44</v>
      </c>
      <c r="H23" s="5">
        <f t="shared" si="0"/>
        <v>15</v>
      </c>
      <c r="I23" s="5">
        <v>15</v>
      </c>
    </row>
    <row r="24" spans="1:9" x14ac:dyDescent="0.3">
      <c r="A24" s="37">
        <v>22</v>
      </c>
      <c r="B24" s="74"/>
      <c r="C24" s="65"/>
      <c r="D24" s="66"/>
      <c r="E24" s="31" t="s">
        <v>163</v>
      </c>
      <c r="F24" s="4" t="s">
        <v>164</v>
      </c>
      <c r="G24" s="4" t="s">
        <v>44</v>
      </c>
      <c r="H24" s="5">
        <f t="shared" si="0"/>
        <v>15</v>
      </c>
      <c r="I24" s="5">
        <v>15</v>
      </c>
    </row>
    <row r="25" spans="1:9" ht="22.5" x14ac:dyDescent="0.3">
      <c r="A25" s="37">
        <v>23</v>
      </c>
      <c r="B25" s="74"/>
      <c r="C25" s="65"/>
      <c r="D25" s="32" t="s">
        <v>50</v>
      </c>
      <c r="E25" s="31" t="s">
        <v>165</v>
      </c>
      <c r="F25" s="4" t="s">
        <v>166</v>
      </c>
      <c r="G25" s="4" t="s">
        <v>44</v>
      </c>
      <c r="H25" s="5">
        <f t="shared" si="0"/>
        <v>15</v>
      </c>
      <c r="I25" s="5">
        <v>15</v>
      </c>
    </row>
    <row r="26" spans="1:9" ht="12" customHeight="1" x14ac:dyDescent="0.3">
      <c r="A26" s="37">
        <v>24</v>
      </c>
      <c r="B26" s="74"/>
      <c r="C26" s="65"/>
      <c r="D26" s="70" t="s">
        <v>51</v>
      </c>
      <c r="E26" s="31" t="s">
        <v>167</v>
      </c>
      <c r="F26" s="4" t="s">
        <v>168</v>
      </c>
      <c r="G26" s="4" t="s">
        <v>44</v>
      </c>
      <c r="H26" s="5">
        <f t="shared" si="0"/>
        <v>15</v>
      </c>
      <c r="I26" s="5">
        <v>15</v>
      </c>
    </row>
    <row r="27" spans="1:9" x14ac:dyDescent="0.3">
      <c r="A27" s="37">
        <v>25</v>
      </c>
      <c r="B27" s="74"/>
      <c r="C27" s="65"/>
      <c r="D27" s="71"/>
      <c r="E27" s="31" t="s">
        <v>169</v>
      </c>
      <c r="F27" s="4" t="s">
        <v>170</v>
      </c>
      <c r="G27" s="4" t="s">
        <v>44</v>
      </c>
      <c r="H27" s="5">
        <f t="shared" si="0"/>
        <v>15</v>
      </c>
      <c r="I27" s="5">
        <v>15</v>
      </c>
    </row>
    <row r="28" spans="1:9" x14ac:dyDescent="0.3">
      <c r="A28" s="37">
        <v>26</v>
      </c>
      <c r="B28" s="74"/>
      <c r="C28" s="65"/>
      <c r="D28" s="70" t="s">
        <v>52</v>
      </c>
      <c r="E28" s="31" t="s">
        <v>171</v>
      </c>
      <c r="F28" s="4" t="s">
        <v>172</v>
      </c>
      <c r="G28" s="4" t="s">
        <v>44</v>
      </c>
      <c r="H28" s="5">
        <f t="shared" si="0"/>
        <v>15</v>
      </c>
      <c r="I28" s="5">
        <v>15</v>
      </c>
    </row>
    <row r="29" spans="1:9" x14ac:dyDescent="0.3">
      <c r="A29" s="37">
        <v>27</v>
      </c>
      <c r="B29" s="74"/>
      <c r="C29" s="65"/>
      <c r="D29" s="73"/>
      <c r="E29" s="31" t="s">
        <v>173</v>
      </c>
      <c r="F29" s="4" t="s">
        <v>174</v>
      </c>
      <c r="G29" s="4" t="s">
        <v>44</v>
      </c>
      <c r="H29" s="5">
        <f t="shared" si="0"/>
        <v>15</v>
      </c>
      <c r="I29" s="5">
        <v>15</v>
      </c>
    </row>
    <row r="30" spans="1:9" x14ac:dyDescent="0.3">
      <c r="A30" s="37">
        <v>28</v>
      </c>
      <c r="B30" s="74"/>
      <c r="C30" s="65"/>
      <c r="D30" s="73"/>
      <c r="E30" s="31" t="s">
        <v>175</v>
      </c>
      <c r="F30" s="4" t="s">
        <v>176</v>
      </c>
      <c r="G30" s="4" t="s">
        <v>44</v>
      </c>
      <c r="H30" s="5">
        <f t="shared" si="0"/>
        <v>15</v>
      </c>
      <c r="I30" s="5">
        <v>15</v>
      </c>
    </row>
    <row r="31" spans="1:9" x14ac:dyDescent="0.3">
      <c r="A31" s="37">
        <v>29</v>
      </c>
      <c r="B31" s="74"/>
      <c r="C31" s="65"/>
      <c r="D31" s="73"/>
      <c r="E31" s="31" t="s">
        <v>177</v>
      </c>
      <c r="F31" s="4" t="s">
        <v>139</v>
      </c>
      <c r="G31" s="4" t="s">
        <v>44</v>
      </c>
      <c r="H31" s="5">
        <f t="shared" si="0"/>
        <v>15</v>
      </c>
      <c r="I31" s="5">
        <v>15</v>
      </c>
    </row>
    <row r="32" spans="1:9" ht="14.45" customHeight="1" x14ac:dyDescent="0.3">
      <c r="A32" s="37">
        <v>30</v>
      </c>
      <c r="B32" s="74"/>
      <c r="C32" s="65"/>
      <c r="D32" s="73"/>
      <c r="E32" s="31" t="s">
        <v>178</v>
      </c>
      <c r="F32" s="4" t="s">
        <v>179</v>
      </c>
      <c r="G32" s="4" t="s">
        <v>44</v>
      </c>
      <c r="H32" s="5">
        <f t="shared" si="0"/>
        <v>15</v>
      </c>
      <c r="I32" s="5">
        <v>15</v>
      </c>
    </row>
    <row r="33" spans="1:9" x14ac:dyDescent="0.3">
      <c r="A33" s="37">
        <v>31</v>
      </c>
      <c r="B33" s="74"/>
      <c r="C33" s="65"/>
      <c r="D33" s="73"/>
      <c r="E33" s="31" t="s">
        <v>180</v>
      </c>
      <c r="F33" s="4" t="s">
        <v>181</v>
      </c>
      <c r="G33" s="4" t="s">
        <v>44</v>
      </c>
      <c r="H33" s="5">
        <f t="shared" si="0"/>
        <v>15</v>
      </c>
      <c r="I33" s="5">
        <v>15</v>
      </c>
    </row>
    <row r="34" spans="1:9" ht="12" customHeight="1" x14ac:dyDescent="0.3">
      <c r="A34" s="37">
        <v>32</v>
      </c>
      <c r="B34" s="74"/>
      <c r="C34" s="65"/>
      <c r="D34" s="71"/>
      <c r="E34" s="31" t="s">
        <v>182</v>
      </c>
      <c r="F34" s="4" t="s">
        <v>183</v>
      </c>
      <c r="G34" s="4" t="s">
        <v>63</v>
      </c>
      <c r="H34" s="5">
        <f t="shared" si="0"/>
        <v>35</v>
      </c>
      <c r="I34" s="5">
        <v>35</v>
      </c>
    </row>
    <row r="35" spans="1:9" x14ac:dyDescent="0.3">
      <c r="A35" s="37">
        <v>33</v>
      </c>
      <c r="B35" s="74"/>
      <c r="C35" s="66"/>
      <c r="D35" s="33" t="s">
        <v>53</v>
      </c>
      <c r="E35" s="31" t="s">
        <v>184</v>
      </c>
      <c r="F35" s="4" t="s">
        <v>185</v>
      </c>
      <c r="G35" s="4" t="s">
        <v>44</v>
      </c>
      <c r="H35" s="5">
        <f t="shared" si="0"/>
        <v>15</v>
      </c>
      <c r="I35" s="5">
        <v>15</v>
      </c>
    </row>
    <row r="36" spans="1:9" x14ac:dyDescent="0.3">
      <c r="A36" s="37">
        <v>34</v>
      </c>
      <c r="B36" s="74"/>
      <c r="C36" s="64" t="s">
        <v>54</v>
      </c>
      <c r="D36" s="72" t="s">
        <v>55</v>
      </c>
      <c r="E36" s="31" t="s">
        <v>186</v>
      </c>
      <c r="F36" s="34" t="s">
        <v>187</v>
      </c>
      <c r="G36" s="4" t="s">
        <v>44</v>
      </c>
      <c r="H36" s="5">
        <f t="shared" si="0"/>
        <v>15</v>
      </c>
      <c r="I36" s="5">
        <v>15</v>
      </c>
    </row>
    <row r="37" spans="1:9" x14ac:dyDescent="0.3">
      <c r="A37" s="37">
        <v>35</v>
      </c>
      <c r="B37" s="74"/>
      <c r="C37" s="65"/>
      <c r="D37" s="62"/>
      <c r="E37" s="31" t="s">
        <v>188</v>
      </c>
      <c r="F37" s="34" t="s">
        <v>56</v>
      </c>
      <c r="G37" s="4" t="s">
        <v>44</v>
      </c>
      <c r="H37" s="5">
        <f t="shared" si="0"/>
        <v>15</v>
      </c>
      <c r="I37" s="5">
        <v>15</v>
      </c>
    </row>
    <row r="38" spans="1:9" x14ac:dyDescent="0.3">
      <c r="A38" s="37">
        <v>36</v>
      </c>
      <c r="B38" s="74"/>
      <c r="C38" s="65"/>
      <c r="D38" s="62"/>
      <c r="E38" s="31" t="s">
        <v>189</v>
      </c>
      <c r="F38" s="34" t="s">
        <v>190</v>
      </c>
      <c r="G38" s="4" t="s">
        <v>44</v>
      </c>
      <c r="H38" s="5">
        <f t="shared" si="0"/>
        <v>15</v>
      </c>
      <c r="I38" s="5">
        <v>15</v>
      </c>
    </row>
    <row r="39" spans="1:9" ht="22.5" x14ac:dyDescent="0.3">
      <c r="A39" s="37">
        <v>37</v>
      </c>
      <c r="B39" s="74"/>
      <c r="C39" s="65"/>
      <c r="D39" s="62"/>
      <c r="E39" s="31" t="s">
        <v>191</v>
      </c>
      <c r="F39" s="34" t="s">
        <v>192</v>
      </c>
      <c r="G39" s="4" t="s">
        <v>44</v>
      </c>
      <c r="H39" s="5">
        <f t="shared" si="0"/>
        <v>15</v>
      </c>
      <c r="I39" s="5">
        <v>15</v>
      </c>
    </row>
    <row r="40" spans="1:9" ht="22.5" x14ac:dyDescent="0.3">
      <c r="A40" s="37">
        <v>38</v>
      </c>
      <c r="B40" s="74"/>
      <c r="C40" s="65"/>
      <c r="D40" s="62"/>
      <c r="E40" s="31" t="s">
        <v>193</v>
      </c>
      <c r="F40" s="34" t="s">
        <v>194</v>
      </c>
      <c r="G40" s="4" t="s">
        <v>44</v>
      </c>
      <c r="H40" s="5">
        <f t="shared" si="0"/>
        <v>15</v>
      </c>
      <c r="I40" s="5">
        <v>15</v>
      </c>
    </row>
    <row r="41" spans="1:9" ht="22.5" x14ac:dyDescent="0.3">
      <c r="A41" s="37">
        <v>39</v>
      </c>
      <c r="B41" s="74"/>
      <c r="C41" s="65"/>
      <c r="D41" s="62"/>
      <c r="E41" s="31" t="s">
        <v>195</v>
      </c>
      <c r="F41" s="34" t="s">
        <v>196</v>
      </c>
      <c r="G41" s="4" t="s">
        <v>44</v>
      </c>
      <c r="H41" s="5">
        <f t="shared" si="0"/>
        <v>15</v>
      </c>
      <c r="I41" s="5">
        <v>15</v>
      </c>
    </row>
    <row r="42" spans="1:9" x14ac:dyDescent="0.3">
      <c r="A42" s="37">
        <v>40</v>
      </c>
      <c r="B42" s="74"/>
      <c r="C42" s="65"/>
      <c r="D42" s="63"/>
      <c r="E42" s="31" t="s">
        <v>197</v>
      </c>
      <c r="F42" s="34" t="s">
        <v>198</v>
      </c>
      <c r="G42" s="4" t="s">
        <v>63</v>
      </c>
      <c r="H42" s="5">
        <f t="shared" si="0"/>
        <v>35</v>
      </c>
      <c r="I42" s="5">
        <v>35</v>
      </c>
    </row>
    <row r="43" spans="1:9" x14ac:dyDescent="0.3">
      <c r="A43" s="37">
        <v>41</v>
      </c>
      <c r="B43" s="74"/>
      <c r="C43" s="65"/>
      <c r="D43" s="72" t="s">
        <v>57</v>
      </c>
      <c r="E43" s="31" t="s">
        <v>199</v>
      </c>
      <c r="F43" s="34" t="s">
        <v>200</v>
      </c>
      <c r="G43" s="4" t="s">
        <v>44</v>
      </c>
      <c r="H43" s="5">
        <f t="shared" si="0"/>
        <v>15</v>
      </c>
      <c r="I43" s="5">
        <v>15</v>
      </c>
    </row>
    <row r="44" spans="1:9" ht="20.65" x14ac:dyDescent="0.3">
      <c r="A44" s="37">
        <v>42</v>
      </c>
      <c r="B44" s="74"/>
      <c r="C44" s="65"/>
      <c r="D44" s="62"/>
      <c r="E44" s="31" t="s">
        <v>201</v>
      </c>
      <c r="F44" s="34" t="s">
        <v>202</v>
      </c>
      <c r="G44" s="4" t="s">
        <v>44</v>
      </c>
      <c r="H44" s="5">
        <f t="shared" si="0"/>
        <v>15</v>
      </c>
      <c r="I44" s="5">
        <v>15</v>
      </c>
    </row>
    <row r="45" spans="1:9" ht="22.5" x14ac:dyDescent="0.3">
      <c r="A45" s="37">
        <v>43</v>
      </c>
      <c r="B45" s="74"/>
      <c r="C45" s="65"/>
      <c r="D45" s="62"/>
      <c r="E45" s="31" t="s">
        <v>203</v>
      </c>
      <c r="F45" s="34" t="s">
        <v>204</v>
      </c>
      <c r="G45" s="4" t="s">
        <v>44</v>
      </c>
      <c r="H45" s="5">
        <f t="shared" si="0"/>
        <v>15</v>
      </c>
      <c r="I45" s="5">
        <v>15</v>
      </c>
    </row>
    <row r="46" spans="1:9" x14ac:dyDescent="0.3">
      <c r="A46" s="37">
        <v>44</v>
      </c>
      <c r="B46" s="74"/>
      <c r="C46" s="65"/>
      <c r="D46" s="63"/>
      <c r="E46" s="31" t="s">
        <v>205</v>
      </c>
      <c r="F46" s="34" t="s">
        <v>206</v>
      </c>
      <c r="G46" s="4" t="s">
        <v>63</v>
      </c>
      <c r="H46" s="5">
        <f t="shared" si="0"/>
        <v>35</v>
      </c>
      <c r="I46" s="5">
        <v>35</v>
      </c>
    </row>
    <row r="47" spans="1:9" x14ac:dyDescent="0.3">
      <c r="A47" s="37">
        <v>45</v>
      </c>
      <c r="B47" s="74"/>
      <c r="C47" s="65"/>
      <c r="D47" s="72" t="s">
        <v>58</v>
      </c>
      <c r="E47" s="31" t="s">
        <v>207</v>
      </c>
      <c r="F47" s="34" t="s">
        <v>208</v>
      </c>
      <c r="G47" s="4" t="s">
        <v>44</v>
      </c>
      <c r="H47" s="5">
        <f t="shared" si="0"/>
        <v>15</v>
      </c>
      <c r="I47" s="5">
        <v>15</v>
      </c>
    </row>
    <row r="48" spans="1:9" ht="12" customHeight="1" x14ac:dyDescent="0.3">
      <c r="A48" s="37">
        <v>46</v>
      </c>
      <c r="B48" s="74"/>
      <c r="C48" s="65"/>
      <c r="D48" s="62"/>
      <c r="E48" s="31" t="s">
        <v>209</v>
      </c>
      <c r="F48" s="34" t="s">
        <v>210</v>
      </c>
      <c r="G48" s="4" t="s">
        <v>44</v>
      </c>
      <c r="H48" s="5">
        <f t="shared" si="0"/>
        <v>15</v>
      </c>
      <c r="I48" s="5">
        <v>15</v>
      </c>
    </row>
    <row r="49" spans="1:9" ht="22.5" x14ac:dyDescent="0.3">
      <c r="A49" s="37">
        <v>47</v>
      </c>
      <c r="B49" s="74"/>
      <c r="C49" s="65"/>
      <c r="D49" s="62"/>
      <c r="E49" s="31" t="s">
        <v>211</v>
      </c>
      <c r="F49" s="34" t="s">
        <v>212</v>
      </c>
      <c r="G49" s="4" t="s">
        <v>44</v>
      </c>
      <c r="H49" s="5">
        <f t="shared" si="0"/>
        <v>15</v>
      </c>
      <c r="I49" s="5">
        <v>15</v>
      </c>
    </row>
    <row r="50" spans="1:9" x14ac:dyDescent="0.3">
      <c r="A50" s="37">
        <v>48</v>
      </c>
      <c r="B50" s="74"/>
      <c r="C50" s="65"/>
      <c r="D50" s="63"/>
      <c r="E50" s="31" t="s">
        <v>213</v>
      </c>
      <c r="F50" s="34" t="s">
        <v>59</v>
      </c>
      <c r="G50" s="4" t="s">
        <v>63</v>
      </c>
      <c r="H50" s="5">
        <f t="shared" si="0"/>
        <v>35</v>
      </c>
      <c r="I50" s="5">
        <v>35</v>
      </c>
    </row>
    <row r="51" spans="1:9" ht="12" customHeight="1" x14ac:dyDescent="0.3">
      <c r="A51" s="37">
        <v>49</v>
      </c>
      <c r="B51" s="74"/>
      <c r="C51" s="65"/>
      <c r="D51" s="72" t="s">
        <v>60</v>
      </c>
      <c r="E51" s="31" t="s">
        <v>214</v>
      </c>
      <c r="F51" s="34" t="s">
        <v>215</v>
      </c>
      <c r="G51" s="4" t="s">
        <v>44</v>
      </c>
      <c r="H51" s="5">
        <f t="shared" si="0"/>
        <v>15</v>
      </c>
      <c r="I51" s="5">
        <v>15</v>
      </c>
    </row>
    <row r="52" spans="1:9" x14ac:dyDescent="0.3">
      <c r="A52" s="37">
        <v>50</v>
      </c>
      <c r="B52" s="74"/>
      <c r="C52" s="65"/>
      <c r="D52" s="62"/>
      <c r="E52" s="31" t="s">
        <v>216</v>
      </c>
      <c r="F52" s="34" t="s">
        <v>217</v>
      </c>
      <c r="G52" s="4" t="s">
        <v>44</v>
      </c>
      <c r="H52" s="5">
        <f t="shared" si="0"/>
        <v>15</v>
      </c>
      <c r="I52" s="5">
        <v>15</v>
      </c>
    </row>
    <row r="53" spans="1:9" x14ac:dyDescent="0.3">
      <c r="A53" s="37">
        <v>51</v>
      </c>
      <c r="B53" s="74"/>
      <c r="C53" s="65"/>
      <c r="D53" s="62"/>
      <c r="E53" s="31" t="s">
        <v>218</v>
      </c>
      <c r="F53" s="34" t="s">
        <v>219</v>
      </c>
      <c r="G53" s="4" t="s">
        <v>44</v>
      </c>
      <c r="H53" s="5">
        <f t="shared" si="0"/>
        <v>15</v>
      </c>
      <c r="I53" s="5">
        <v>15</v>
      </c>
    </row>
    <row r="54" spans="1:9" x14ac:dyDescent="0.3">
      <c r="A54" s="37">
        <v>52</v>
      </c>
      <c r="B54" s="74"/>
      <c r="C54" s="66"/>
      <c r="D54" s="63"/>
      <c r="E54" s="31" t="s">
        <v>220</v>
      </c>
      <c r="F54" s="34" t="s">
        <v>221</v>
      </c>
      <c r="G54" s="4" t="s">
        <v>63</v>
      </c>
      <c r="H54" s="5">
        <f t="shared" si="0"/>
        <v>35</v>
      </c>
      <c r="I54" s="5">
        <v>35</v>
      </c>
    </row>
    <row r="55" spans="1:9" ht="22.5" x14ac:dyDescent="0.3">
      <c r="A55" s="37">
        <v>53</v>
      </c>
      <c r="B55" s="74"/>
      <c r="C55" s="65" t="s">
        <v>61</v>
      </c>
      <c r="D55" s="35" t="s">
        <v>62</v>
      </c>
      <c r="E55" s="31" t="s">
        <v>171</v>
      </c>
      <c r="F55" s="34" t="s">
        <v>222</v>
      </c>
      <c r="G55" s="4" t="s">
        <v>63</v>
      </c>
      <c r="H55" s="5">
        <f t="shared" si="0"/>
        <v>35</v>
      </c>
      <c r="I55" s="5">
        <v>35</v>
      </c>
    </row>
    <row r="56" spans="1:9" ht="12" customHeight="1" x14ac:dyDescent="0.3">
      <c r="A56" s="37">
        <v>54</v>
      </c>
      <c r="B56" s="74"/>
      <c r="C56" s="65"/>
      <c r="D56" s="32" t="s">
        <v>64</v>
      </c>
      <c r="E56" s="31" t="s">
        <v>223</v>
      </c>
      <c r="F56" s="34" t="s">
        <v>224</v>
      </c>
      <c r="G56" s="4" t="s">
        <v>44</v>
      </c>
      <c r="H56" s="5">
        <f t="shared" si="0"/>
        <v>15</v>
      </c>
      <c r="I56" s="5">
        <v>15</v>
      </c>
    </row>
    <row r="57" spans="1:9" x14ac:dyDescent="0.3">
      <c r="A57" s="37">
        <v>55</v>
      </c>
      <c r="B57" s="74"/>
      <c r="C57" s="65"/>
      <c r="D57" s="32" t="s">
        <v>65</v>
      </c>
      <c r="E57" s="31" t="s">
        <v>225</v>
      </c>
      <c r="F57" s="34" t="s">
        <v>226</v>
      </c>
      <c r="G57" s="4" t="s">
        <v>44</v>
      </c>
      <c r="H57" s="5">
        <f t="shared" si="0"/>
        <v>15</v>
      </c>
      <c r="I57" s="5">
        <v>15</v>
      </c>
    </row>
    <row r="58" spans="1:9" x14ac:dyDescent="0.3">
      <c r="A58" s="37">
        <v>56</v>
      </c>
      <c r="B58" s="74"/>
      <c r="C58" s="78" t="s">
        <v>66</v>
      </c>
      <c r="D58" s="34" t="s">
        <v>67</v>
      </c>
      <c r="E58" s="31" t="s">
        <v>227</v>
      </c>
      <c r="F58" s="34" t="s">
        <v>228</v>
      </c>
      <c r="G58" s="4" t="s">
        <v>44</v>
      </c>
      <c r="H58" s="5">
        <f t="shared" si="0"/>
        <v>15</v>
      </c>
      <c r="I58" s="5">
        <v>15</v>
      </c>
    </row>
    <row r="59" spans="1:9" x14ac:dyDescent="0.3">
      <c r="A59" s="37">
        <v>57</v>
      </c>
      <c r="B59" s="74"/>
      <c r="C59" s="78"/>
      <c r="D59" s="62" t="s">
        <v>229</v>
      </c>
      <c r="E59" s="31" t="s">
        <v>230</v>
      </c>
      <c r="F59" s="4" t="s">
        <v>231</v>
      </c>
      <c r="G59" s="4" t="s">
        <v>63</v>
      </c>
      <c r="H59" s="5">
        <f t="shared" si="0"/>
        <v>35</v>
      </c>
      <c r="I59" s="5">
        <v>35</v>
      </c>
    </row>
    <row r="60" spans="1:9" ht="10.8" customHeight="1" x14ac:dyDescent="0.3">
      <c r="A60" s="37">
        <v>58</v>
      </c>
      <c r="B60" s="74"/>
      <c r="C60" s="78"/>
      <c r="D60" s="63"/>
      <c r="E60" s="31" t="s">
        <v>232</v>
      </c>
      <c r="F60" s="4" t="s">
        <v>233</v>
      </c>
      <c r="G60" s="4" t="s">
        <v>44</v>
      </c>
      <c r="H60" s="5">
        <f t="shared" si="0"/>
        <v>15</v>
      </c>
      <c r="I60" s="5">
        <v>15</v>
      </c>
    </row>
    <row r="61" spans="1:9" x14ac:dyDescent="0.3">
      <c r="A61" s="37">
        <v>59</v>
      </c>
      <c r="B61" s="74"/>
      <c r="C61" s="78"/>
      <c r="D61" s="62" t="s">
        <v>234</v>
      </c>
      <c r="E61" s="31" t="s">
        <v>235</v>
      </c>
      <c r="F61" s="4" t="s">
        <v>236</v>
      </c>
      <c r="G61" s="4" t="s">
        <v>63</v>
      </c>
      <c r="H61" s="5">
        <f t="shared" si="0"/>
        <v>35</v>
      </c>
      <c r="I61" s="5">
        <v>35</v>
      </c>
    </row>
    <row r="62" spans="1:9" x14ac:dyDescent="0.3">
      <c r="A62" s="37">
        <v>60</v>
      </c>
      <c r="B62" s="74"/>
      <c r="C62" s="78"/>
      <c r="D62" s="63"/>
      <c r="E62" s="31" t="s">
        <v>237</v>
      </c>
      <c r="F62" s="4" t="s">
        <v>238</v>
      </c>
      <c r="G62" s="4" t="s">
        <v>44</v>
      </c>
      <c r="H62" s="5">
        <f t="shared" si="0"/>
        <v>15</v>
      </c>
      <c r="I62" s="5">
        <v>15</v>
      </c>
    </row>
    <row r="63" spans="1:9" ht="12" customHeight="1" x14ac:dyDescent="0.3">
      <c r="A63" s="37">
        <v>61</v>
      </c>
      <c r="B63" s="74"/>
      <c r="C63" s="78"/>
      <c r="D63" s="32" t="s">
        <v>68</v>
      </c>
      <c r="E63" s="31" t="s">
        <v>239</v>
      </c>
      <c r="F63" s="4" t="s">
        <v>240</v>
      </c>
      <c r="G63" s="4" t="s">
        <v>44</v>
      </c>
      <c r="H63" s="5">
        <f t="shared" si="0"/>
        <v>15</v>
      </c>
      <c r="I63" s="5">
        <v>15</v>
      </c>
    </row>
    <row r="64" spans="1:9" x14ac:dyDescent="0.3">
      <c r="A64" s="37">
        <v>62</v>
      </c>
      <c r="B64" s="74"/>
      <c r="C64" s="77" t="s">
        <v>69</v>
      </c>
      <c r="D64" s="32" t="s">
        <v>70</v>
      </c>
      <c r="E64" s="31" t="s">
        <v>241</v>
      </c>
      <c r="F64" s="34" t="s">
        <v>71</v>
      </c>
      <c r="G64" s="4" t="s">
        <v>44</v>
      </c>
      <c r="H64" s="5">
        <f t="shared" si="0"/>
        <v>15</v>
      </c>
      <c r="I64" s="5">
        <v>15</v>
      </c>
    </row>
    <row r="65" spans="1:9" x14ac:dyDescent="0.3">
      <c r="A65" s="37">
        <v>63</v>
      </c>
      <c r="B65" s="74"/>
      <c r="C65" s="77"/>
      <c r="D65" s="72" t="s">
        <v>72</v>
      </c>
      <c r="E65" s="31" t="s">
        <v>242</v>
      </c>
      <c r="F65" s="34" t="s">
        <v>243</v>
      </c>
      <c r="G65" s="4" t="s">
        <v>44</v>
      </c>
      <c r="H65" s="5">
        <f t="shared" si="0"/>
        <v>15</v>
      </c>
      <c r="I65" s="5">
        <v>15</v>
      </c>
    </row>
    <row r="66" spans="1:9" ht="24" customHeight="1" x14ac:dyDescent="0.3">
      <c r="A66" s="37">
        <v>64</v>
      </c>
      <c r="B66" s="74"/>
      <c r="C66" s="77"/>
      <c r="D66" s="63"/>
      <c r="E66" s="31" t="s">
        <v>244</v>
      </c>
      <c r="F66" s="34" t="s">
        <v>245</v>
      </c>
      <c r="G66" s="4" t="s">
        <v>44</v>
      </c>
      <c r="H66" s="5">
        <f t="shared" si="0"/>
        <v>15</v>
      </c>
      <c r="I66" s="5">
        <v>15</v>
      </c>
    </row>
    <row r="67" spans="1:9" x14ac:dyDescent="0.3">
      <c r="A67" s="37">
        <v>65</v>
      </c>
      <c r="B67" s="74"/>
      <c r="C67" s="77"/>
      <c r="D67" s="32" t="s">
        <v>73</v>
      </c>
      <c r="E67" s="31" t="s">
        <v>246</v>
      </c>
      <c r="F67" s="34" t="s">
        <v>247</v>
      </c>
      <c r="G67" s="4" t="s">
        <v>63</v>
      </c>
      <c r="H67" s="5">
        <f t="shared" si="0"/>
        <v>35</v>
      </c>
      <c r="I67" s="5">
        <v>35</v>
      </c>
    </row>
    <row r="68" spans="1:9" ht="24" customHeight="1" x14ac:dyDescent="0.3">
      <c r="A68" s="37">
        <v>66</v>
      </c>
      <c r="B68" s="74"/>
      <c r="C68" s="77" t="s">
        <v>74</v>
      </c>
      <c r="D68" s="72" t="s">
        <v>75</v>
      </c>
      <c r="E68" s="31" t="s">
        <v>248</v>
      </c>
      <c r="F68" s="34" t="s">
        <v>249</v>
      </c>
      <c r="G68" s="4" t="s">
        <v>44</v>
      </c>
      <c r="H68" s="5">
        <f t="shared" ref="H68:H90" si="1">IF(G68="ILF",35,IF(G68="EIF",15,""))</f>
        <v>15</v>
      </c>
      <c r="I68" s="5">
        <v>15</v>
      </c>
    </row>
    <row r="69" spans="1:9" x14ac:dyDescent="0.3">
      <c r="A69" s="37">
        <v>67</v>
      </c>
      <c r="B69" s="74"/>
      <c r="C69" s="77"/>
      <c r="D69" s="62"/>
      <c r="E69" s="31" t="s">
        <v>250</v>
      </c>
      <c r="F69" s="34" t="s">
        <v>251</v>
      </c>
      <c r="G69" s="4" t="s">
        <v>44</v>
      </c>
      <c r="H69" s="5">
        <f t="shared" si="1"/>
        <v>15</v>
      </c>
      <c r="I69" s="5">
        <v>15</v>
      </c>
    </row>
    <row r="70" spans="1:9" x14ac:dyDescent="0.3">
      <c r="A70" s="37">
        <v>68</v>
      </c>
      <c r="B70" s="74"/>
      <c r="C70" s="77"/>
      <c r="D70" s="34" t="s">
        <v>76</v>
      </c>
      <c r="E70" s="31" t="s">
        <v>252</v>
      </c>
      <c r="F70" s="34" t="s">
        <v>253</v>
      </c>
      <c r="G70" s="4" t="s">
        <v>44</v>
      </c>
      <c r="H70" s="5">
        <f t="shared" si="1"/>
        <v>15</v>
      </c>
      <c r="I70" s="5">
        <v>15</v>
      </c>
    </row>
    <row r="71" spans="1:9" x14ac:dyDescent="0.3">
      <c r="A71" s="37">
        <v>69</v>
      </c>
      <c r="B71" s="74"/>
      <c r="C71" s="77"/>
      <c r="D71" s="34" t="s">
        <v>254</v>
      </c>
      <c r="E71" s="31" t="s">
        <v>255</v>
      </c>
      <c r="F71" s="34" t="s">
        <v>256</v>
      </c>
      <c r="G71" s="4" t="s">
        <v>44</v>
      </c>
      <c r="H71" s="5">
        <f t="shared" si="1"/>
        <v>15</v>
      </c>
      <c r="I71" s="5">
        <v>15</v>
      </c>
    </row>
    <row r="72" spans="1:9" ht="12" customHeight="1" x14ac:dyDescent="0.3">
      <c r="A72" s="37">
        <v>70</v>
      </c>
      <c r="B72" s="74"/>
      <c r="C72" s="77"/>
      <c r="D72" s="32" t="s">
        <v>49</v>
      </c>
      <c r="E72" s="31" t="s">
        <v>257</v>
      </c>
      <c r="F72" s="34" t="s">
        <v>258</v>
      </c>
      <c r="G72" s="4" t="s">
        <v>44</v>
      </c>
      <c r="H72" s="5">
        <f t="shared" si="1"/>
        <v>15</v>
      </c>
      <c r="I72" s="5">
        <v>15</v>
      </c>
    </row>
    <row r="73" spans="1:9" x14ac:dyDescent="0.3">
      <c r="A73" s="37">
        <v>71</v>
      </c>
      <c r="B73" s="74"/>
      <c r="C73" s="77"/>
      <c r="D73" s="32" t="s">
        <v>77</v>
      </c>
      <c r="E73" s="31" t="s">
        <v>259</v>
      </c>
      <c r="F73" s="34" t="s">
        <v>260</v>
      </c>
      <c r="G73" s="4" t="s">
        <v>44</v>
      </c>
      <c r="H73" s="5">
        <f t="shared" si="1"/>
        <v>15</v>
      </c>
      <c r="I73" s="5">
        <v>15</v>
      </c>
    </row>
    <row r="74" spans="1:9" ht="12" customHeight="1" x14ac:dyDescent="0.3">
      <c r="A74" s="37">
        <v>72</v>
      </c>
      <c r="B74" s="74"/>
      <c r="C74" s="77"/>
      <c r="D74" s="34" t="s">
        <v>78</v>
      </c>
      <c r="E74" s="31" t="s">
        <v>261</v>
      </c>
      <c r="F74" s="34" t="s">
        <v>79</v>
      </c>
      <c r="G74" s="4" t="s">
        <v>44</v>
      </c>
      <c r="H74" s="5">
        <f t="shared" si="1"/>
        <v>15</v>
      </c>
      <c r="I74" s="5">
        <v>15</v>
      </c>
    </row>
    <row r="75" spans="1:9" x14ac:dyDescent="0.3">
      <c r="A75" s="37">
        <v>73</v>
      </c>
      <c r="B75" s="74"/>
      <c r="C75" s="72" t="s">
        <v>80</v>
      </c>
      <c r="D75" s="32" t="s">
        <v>81</v>
      </c>
      <c r="E75" s="31" t="s">
        <v>262</v>
      </c>
      <c r="F75" s="34" t="s">
        <v>263</v>
      </c>
      <c r="G75" s="4" t="s">
        <v>63</v>
      </c>
      <c r="H75" s="5">
        <f t="shared" si="1"/>
        <v>35</v>
      </c>
      <c r="I75" s="5">
        <v>35</v>
      </c>
    </row>
    <row r="76" spans="1:9" x14ac:dyDescent="0.3">
      <c r="A76" s="37">
        <v>74</v>
      </c>
      <c r="B76" s="74"/>
      <c r="C76" s="62"/>
      <c r="D76" s="72" t="s">
        <v>82</v>
      </c>
      <c r="E76" s="31" t="s">
        <v>264</v>
      </c>
      <c r="F76" s="34" t="s">
        <v>265</v>
      </c>
      <c r="G76" s="4" t="s">
        <v>63</v>
      </c>
      <c r="H76" s="5">
        <f t="shared" si="1"/>
        <v>35</v>
      </c>
      <c r="I76" s="5">
        <v>35</v>
      </c>
    </row>
    <row r="77" spans="1:9" ht="12" customHeight="1" x14ac:dyDescent="0.3">
      <c r="A77" s="37">
        <v>75</v>
      </c>
      <c r="B77" s="74"/>
      <c r="C77" s="62"/>
      <c r="D77" s="62"/>
      <c r="E77" s="31" t="s">
        <v>266</v>
      </c>
      <c r="F77" s="34" t="s">
        <v>267</v>
      </c>
      <c r="G77" s="4" t="s">
        <v>63</v>
      </c>
      <c r="H77" s="5">
        <f t="shared" si="1"/>
        <v>35</v>
      </c>
      <c r="I77" s="5">
        <v>35</v>
      </c>
    </row>
    <row r="78" spans="1:9" x14ac:dyDescent="0.3">
      <c r="A78" s="37">
        <v>76</v>
      </c>
      <c r="B78" s="74"/>
      <c r="C78" s="62"/>
      <c r="D78" s="63"/>
      <c r="E78" s="31" t="s">
        <v>268</v>
      </c>
      <c r="F78" s="34" t="s">
        <v>269</v>
      </c>
      <c r="G78" s="4" t="s">
        <v>63</v>
      </c>
      <c r="H78" s="5">
        <f t="shared" si="1"/>
        <v>35</v>
      </c>
      <c r="I78" s="5">
        <v>35</v>
      </c>
    </row>
    <row r="79" spans="1:9" x14ac:dyDescent="0.3">
      <c r="A79" s="37">
        <v>77</v>
      </c>
      <c r="B79" s="74"/>
      <c r="C79" s="62"/>
      <c r="D79" s="36" t="s">
        <v>83</v>
      </c>
      <c r="E79" s="31" t="s">
        <v>270</v>
      </c>
      <c r="F79" s="34" t="s">
        <v>271</v>
      </c>
      <c r="G79" s="4" t="s">
        <v>63</v>
      </c>
      <c r="H79" s="5">
        <f t="shared" si="1"/>
        <v>35</v>
      </c>
      <c r="I79" s="5">
        <v>35</v>
      </c>
    </row>
    <row r="80" spans="1:9" ht="33.75" x14ac:dyDescent="0.3">
      <c r="A80" s="37">
        <v>78</v>
      </c>
      <c r="B80" s="74"/>
      <c r="C80" s="62"/>
      <c r="D80" s="72" t="s">
        <v>84</v>
      </c>
      <c r="E80" s="31" t="s">
        <v>272</v>
      </c>
      <c r="F80" s="34" t="s">
        <v>273</v>
      </c>
      <c r="G80" s="4" t="s">
        <v>63</v>
      </c>
      <c r="H80" s="5">
        <f t="shared" si="1"/>
        <v>35</v>
      </c>
      <c r="I80" s="5">
        <v>35</v>
      </c>
    </row>
    <row r="81" spans="1:9" x14ac:dyDescent="0.3">
      <c r="A81" s="37">
        <v>79</v>
      </c>
      <c r="B81" s="74"/>
      <c r="C81" s="62"/>
      <c r="D81" s="62"/>
      <c r="E81" s="31" t="s">
        <v>274</v>
      </c>
      <c r="F81" s="34" t="s">
        <v>275</v>
      </c>
      <c r="G81" s="4" t="s">
        <v>63</v>
      </c>
      <c r="H81" s="5">
        <f t="shared" si="1"/>
        <v>35</v>
      </c>
      <c r="I81" s="5">
        <v>35</v>
      </c>
    </row>
    <row r="82" spans="1:9" ht="22.5" x14ac:dyDescent="0.3">
      <c r="A82" s="37">
        <v>80</v>
      </c>
      <c r="B82" s="74"/>
      <c r="C82" s="62"/>
      <c r="D82" s="62"/>
      <c r="E82" s="31" t="s">
        <v>276</v>
      </c>
      <c r="F82" s="34" t="s">
        <v>277</v>
      </c>
      <c r="G82" s="4" t="s">
        <v>63</v>
      </c>
      <c r="H82" s="5">
        <f t="shared" si="1"/>
        <v>35</v>
      </c>
      <c r="I82" s="5">
        <v>35</v>
      </c>
    </row>
    <row r="83" spans="1:9" ht="14.45" customHeight="1" x14ac:dyDescent="0.3">
      <c r="A83" s="37">
        <v>81</v>
      </c>
      <c r="B83" s="74"/>
      <c r="C83" s="62"/>
      <c r="D83" s="62"/>
      <c r="E83" s="31" t="s">
        <v>278</v>
      </c>
      <c r="F83" s="34" t="s">
        <v>279</v>
      </c>
      <c r="G83" s="4" t="s">
        <v>63</v>
      </c>
      <c r="H83" s="5">
        <f t="shared" si="1"/>
        <v>35</v>
      </c>
      <c r="I83" s="5">
        <v>35</v>
      </c>
    </row>
    <row r="84" spans="1:9" x14ac:dyDescent="0.3">
      <c r="A84" s="37">
        <v>82</v>
      </c>
      <c r="B84" s="74"/>
      <c r="C84" s="62"/>
      <c r="D84" s="32" t="s">
        <v>85</v>
      </c>
      <c r="E84" s="31" t="s">
        <v>280</v>
      </c>
      <c r="F84" s="34" t="s">
        <v>281</v>
      </c>
      <c r="G84" s="4" t="s">
        <v>63</v>
      </c>
      <c r="H84" s="5">
        <f t="shared" si="1"/>
        <v>35</v>
      </c>
      <c r="I84" s="5">
        <v>35</v>
      </c>
    </row>
    <row r="85" spans="1:9" x14ac:dyDescent="0.3">
      <c r="A85" s="37">
        <v>83</v>
      </c>
      <c r="B85" s="74"/>
      <c r="C85" s="77" t="s">
        <v>86</v>
      </c>
      <c r="D85" s="32" t="s">
        <v>87</v>
      </c>
      <c r="E85" s="31" t="s">
        <v>282</v>
      </c>
      <c r="F85" s="34" t="s">
        <v>283</v>
      </c>
      <c r="G85" s="4" t="s">
        <v>63</v>
      </c>
      <c r="H85" s="5">
        <f t="shared" si="1"/>
        <v>35</v>
      </c>
      <c r="I85" s="5">
        <v>35</v>
      </c>
    </row>
    <row r="86" spans="1:9" ht="12" customHeight="1" x14ac:dyDescent="0.3">
      <c r="A86" s="37">
        <v>84</v>
      </c>
      <c r="B86" s="74"/>
      <c r="C86" s="77"/>
      <c r="D86" s="32" t="s">
        <v>88</v>
      </c>
      <c r="E86" s="31" t="s">
        <v>284</v>
      </c>
      <c r="F86" s="34" t="s">
        <v>285</v>
      </c>
      <c r="G86" s="4" t="s">
        <v>63</v>
      </c>
      <c r="H86" s="5">
        <f t="shared" si="1"/>
        <v>35</v>
      </c>
      <c r="I86" s="5">
        <v>35</v>
      </c>
    </row>
    <row r="87" spans="1:9" x14ac:dyDescent="0.3">
      <c r="A87" s="37">
        <v>85</v>
      </c>
      <c r="B87" s="74"/>
      <c r="C87" s="77" t="s">
        <v>89</v>
      </c>
      <c r="D87" s="77" t="s">
        <v>90</v>
      </c>
      <c r="E87" s="31" t="s">
        <v>286</v>
      </c>
      <c r="F87" s="34" t="s">
        <v>287</v>
      </c>
      <c r="G87" s="4" t="s">
        <v>63</v>
      </c>
      <c r="H87" s="5">
        <f t="shared" si="1"/>
        <v>35</v>
      </c>
      <c r="I87" s="5">
        <v>35</v>
      </c>
    </row>
    <row r="88" spans="1:9" x14ac:dyDescent="0.3">
      <c r="A88" s="37">
        <v>86</v>
      </c>
      <c r="B88" s="74"/>
      <c r="C88" s="77"/>
      <c r="D88" s="77"/>
      <c r="E88" s="31" t="s">
        <v>288</v>
      </c>
      <c r="F88" s="34" t="s">
        <v>289</v>
      </c>
      <c r="G88" s="37" t="s">
        <v>63</v>
      </c>
      <c r="H88" s="5">
        <f t="shared" si="1"/>
        <v>35</v>
      </c>
      <c r="I88" s="5">
        <v>35</v>
      </c>
    </row>
    <row r="89" spans="1:9" x14ac:dyDescent="0.3">
      <c r="A89" s="37">
        <v>87</v>
      </c>
      <c r="B89" s="74"/>
      <c r="C89" s="77"/>
      <c r="D89" s="72" t="s">
        <v>91</v>
      </c>
      <c r="E89" s="31" t="s">
        <v>290</v>
      </c>
      <c r="F89" s="34" t="s">
        <v>291</v>
      </c>
      <c r="G89" s="37" t="s">
        <v>63</v>
      </c>
      <c r="H89" s="5">
        <f t="shared" si="1"/>
        <v>35</v>
      </c>
      <c r="I89" s="5">
        <v>35</v>
      </c>
    </row>
    <row r="90" spans="1:9" x14ac:dyDescent="0.3">
      <c r="A90" s="37">
        <v>88</v>
      </c>
      <c r="B90" s="74"/>
      <c r="C90" s="77"/>
      <c r="D90" s="63"/>
      <c r="E90" s="31" t="s">
        <v>292</v>
      </c>
      <c r="F90" s="34" t="s">
        <v>293</v>
      </c>
      <c r="G90" s="37" t="s">
        <v>63</v>
      </c>
      <c r="H90" s="5">
        <f t="shared" si="1"/>
        <v>35</v>
      </c>
      <c r="I90" s="5">
        <v>35</v>
      </c>
    </row>
    <row r="1048550" spans="9:9" x14ac:dyDescent="0.3">
      <c r="I1048550" s="53">
        <f>SUM(I2:I1048549)</f>
        <v>3640</v>
      </c>
    </row>
  </sheetData>
  <mergeCells count="31">
    <mergeCell ref="B3:B90"/>
    <mergeCell ref="A2:H2"/>
    <mergeCell ref="C64:C67"/>
    <mergeCell ref="D65:D66"/>
    <mergeCell ref="C87:C90"/>
    <mergeCell ref="D87:D88"/>
    <mergeCell ref="D89:D90"/>
    <mergeCell ref="C68:C74"/>
    <mergeCell ref="C75:C84"/>
    <mergeCell ref="D76:D78"/>
    <mergeCell ref="D80:D83"/>
    <mergeCell ref="C85:C86"/>
    <mergeCell ref="D51:D54"/>
    <mergeCell ref="C55:C57"/>
    <mergeCell ref="C58:C63"/>
    <mergeCell ref="D59:D60"/>
    <mergeCell ref="D61:D62"/>
    <mergeCell ref="C3:C6"/>
    <mergeCell ref="D3:D6"/>
    <mergeCell ref="D26:D27"/>
    <mergeCell ref="D68:D69"/>
    <mergeCell ref="C7:C35"/>
    <mergeCell ref="D7:D13"/>
    <mergeCell ref="D14:D17"/>
    <mergeCell ref="D18:D19"/>
    <mergeCell ref="D20:D24"/>
    <mergeCell ref="D28:D34"/>
    <mergeCell ref="C36:C54"/>
    <mergeCell ref="D36:D42"/>
    <mergeCell ref="D43:D46"/>
    <mergeCell ref="D47:D50"/>
  </mergeCells>
  <phoneticPr fontId="12" type="noConversion"/>
  <conditionalFormatting sqref="E91:E1048576 E1">
    <cfRule type="duplicateValues" dxfId="27" priority="35"/>
    <cfRule type="duplicateValues" dxfId="26" priority="36"/>
  </conditionalFormatting>
  <conditionalFormatting sqref="F6:F7">
    <cfRule type="duplicateValues" dxfId="25" priority="13"/>
    <cfRule type="duplicateValues" dxfId="24" priority="14"/>
  </conditionalFormatting>
  <conditionalFormatting sqref="F78:F80">
    <cfRule type="duplicateValues" dxfId="23" priority="5"/>
    <cfRule type="duplicateValues" dxfId="22" priority="6"/>
  </conditionalFormatting>
  <conditionalFormatting sqref="F84">
    <cfRule type="duplicateValues" dxfId="21" priority="7"/>
    <cfRule type="duplicateValues" dxfId="20" priority="8"/>
  </conditionalFormatting>
  <conditionalFormatting sqref="F3:F7">
    <cfRule type="duplicateValues" dxfId="19" priority="9"/>
    <cfRule type="duplicateValues" dxfId="18" priority="10"/>
  </conditionalFormatting>
  <conditionalFormatting sqref="F8:F25 F59:F67 F4:F5 F75:F77 F83 F85:F89">
    <cfRule type="duplicateValues" dxfId="17" priority="11"/>
    <cfRule type="duplicateValues" dxfId="16" priority="12"/>
  </conditionalFormatting>
  <conditionalFormatting sqref="D20 D7 D18 D14">
    <cfRule type="duplicateValues" dxfId="15" priority="15"/>
    <cfRule type="duplicateValues" dxfId="14" priority="16"/>
  </conditionalFormatting>
  <conditionalFormatting sqref="F68:F74">
    <cfRule type="duplicateValues" dxfId="13" priority="17"/>
    <cfRule type="duplicateValues" dxfId="12" priority="18"/>
  </conditionalFormatting>
  <conditionalFormatting sqref="F82">
    <cfRule type="duplicateValues" dxfId="11" priority="3"/>
    <cfRule type="duplicateValues" dxfId="10" priority="4"/>
  </conditionalFormatting>
  <conditionalFormatting sqref="F81">
    <cfRule type="duplicateValues" dxfId="9" priority="1"/>
    <cfRule type="duplicateValues" dxfId="8" priority="2"/>
  </conditionalFormatting>
  <dataValidations count="1">
    <dataValidation type="list" allowBlank="1" showInputMessage="1" showErrorMessage="1" sqref="G3:G90" xr:uid="{00000000-0002-0000-0200-000000000000}">
      <formula1>"ILF,EIF"</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2"/>
  <sheetViews>
    <sheetView topLeftCell="A7" zoomScale="115" zoomScaleNormal="115" workbookViewId="0">
      <selection activeCell="F19" sqref="F19"/>
    </sheetView>
  </sheetViews>
  <sheetFormatPr defaultColWidth="8.9296875" defaultRowHeight="11.25" x14ac:dyDescent="0.3"/>
  <cols>
    <col min="1" max="1" width="3.59765625" style="1" customWidth="1"/>
    <col min="2" max="2" width="8.59765625" style="1" customWidth="1"/>
    <col min="3" max="3" width="12.46484375" style="1" customWidth="1"/>
    <col min="4" max="4" width="13.33203125" style="8" customWidth="1"/>
    <col min="5" max="5" width="22.46484375" style="1" customWidth="1"/>
    <col min="6" max="6" width="43.796875" style="1" customWidth="1"/>
    <col min="7" max="7" width="7.06640625" style="1" customWidth="1"/>
    <col min="8" max="8" width="6.796875" style="1" customWidth="1"/>
    <col min="9" max="9" width="7.33203125" style="1" customWidth="1"/>
    <col min="10" max="16384" width="8.9296875" style="1"/>
  </cols>
  <sheetData>
    <row r="1" spans="1:9" ht="22.5" x14ac:dyDescent="0.3">
      <c r="A1" s="43" t="s">
        <v>337</v>
      </c>
      <c r="B1" s="42" t="s">
        <v>40</v>
      </c>
      <c r="C1" s="2" t="s">
        <v>338</v>
      </c>
      <c r="D1" s="2" t="s">
        <v>339</v>
      </c>
      <c r="E1" s="2" t="s">
        <v>340</v>
      </c>
      <c r="F1" s="2" t="s">
        <v>341</v>
      </c>
      <c r="G1" s="2" t="s">
        <v>342</v>
      </c>
      <c r="H1" s="2" t="s">
        <v>41</v>
      </c>
      <c r="I1" s="2" t="s">
        <v>343</v>
      </c>
    </row>
    <row r="2" spans="1:9" x14ac:dyDescent="0.3">
      <c r="A2" s="79" t="s">
        <v>357</v>
      </c>
      <c r="B2" s="80"/>
      <c r="C2" s="80"/>
      <c r="D2" s="80"/>
      <c r="E2" s="80"/>
      <c r="F2" s="80"/>
      <c r="G2" s="80"/>
      <c r="H2" s="81"/>
      <c r="I2" s="2">
        <f>SUM(I3:I22)</f>
        <v>400</v>
      </c>
    </row>
    <row r="3" spans="1:9" ht="21.7" customHeight="1" x14ac:dyDescent="0.3">
      <c r="A3" s="37">
        <v>1</v>
      </c>
      <c r="B3" s="74" t="s">
        <v>357</v>
      </c>
      <c r="C3" s="84" t="s">
        <v>92</v>
      </c>
      <c r="D3" s="78" t="s">
        <v>92</v>
      </c>
      <c r="E3" s="6" t="s">
        <v>294</v>
      </c>
      <c r="F3" s="4" t="s">
        <v>295</v>
      </c>
      <c r="G3" s="4" t="s">
        <v>44</v>
      </c>
      <c r="H3" s="5">
        <f>IF(G3="ILF",35,IF(G3="EIF",15,""))</f>
        <v>15</v>
      </c>
      <c r="I3" s="5">
        <v>15</v>
      </c>
    </row>
    <row r="4" spans="1:9" ht="21.7" customHeight="1" x14ac:dyDescent="0.3">
      <c r="A4" s="37">
        <v>2</v>
      </c>
      <c r="B4" s="74"/>
      <c r="C4" s="84"/>
      <c r="D4" s="78"/>
      <c r="E4" s="6" t="s">
        <v>296</v>
      </c>
      <c r="F4" s="4" t="s">
        <v>297</v>
      </c>
      <c r="G4" s="4" t="s">
        <v>44</v>
      </c>
      <c r="H4" s="5">
        <f t="shared" ref="H4:H22" si="0">IF(G4="ILF",35,IF(G4="EIF",15,""))</f>
        <v>15</v>
      </c>
      <c r="I4" s="5">
        <v>15</v>
      </c>
    </row>
    <row r="5" spans="1:9" ht="21.7" customHeight="1" x14ac:dyDescent="0.3">
      <c r="A5" s="37">
        <v>3</v>
      </c>
      <c r="B5" s="74"/>
      <c r="C5" s="84"/>
      <c r="D5" s="78"/>
      <c r="E5" s="7" t="s">
        <v>93</v>
      </c>
      <c r="F5" s="38" t="s">
        <v>298</v>
      </c>
      <c r="G5" s="4" t="s">
        <v>44</v>
      </c>
      <c r="H5" s="5">
        <f t="shared" si="0"/>
        <v>15</v>
      </c>
      <c r="I5" s="5">
        <v>15</v>
      </c>
    </row>
    <row r="6" spans="1:9" x14ac:dyDescent="0.3">
      <c r="A6" s="37">
        <v>4</v>
      </c>
      <c r="B6" s="74"/>
      <c r="C6" s="78" t="s">
        <v>94</v>
      </c>
      <c r="D6" s="78" t="s">
        <v>95</v>
      </c>
      <c r="E6" s="7" t="s">
        <v>96</v>
      </c>
      <c r="F6" s="38" t="s">
        <v>299</v>
      </c>
      <c r="G6" s="4" t="s">
        <v>63</v>
      </c>
      <c r="H6" s="5">
        <f t="shared" si="0"/>
        <v>35</v>
      </c>
      <c r="I6" s="5">
        <v>35</v>
      </c>
    </row>
    <row r="7" spans="1:9" x14ac:dyDescent="0.3">
      <c r="A7" s="37">
        <v>5</v>
      </c>
      <c r="B7" s="74"/>
      <c r="C7" s="78"/>
      <c r="D7" s="78"/>
      <c r="E7" s="7" t="s">
        <v>97</v>
      </c>
      <c r="F7" s="38" t="s">
        <v>300</v>
      </c>
      <c r="G7" s="4" t="s">
        <v>63</v>
      </c>
      <c r="H7" s="5">
        <f t="shared" si="0"/>
        <v>35</v>
      </c>
      <c r="I7" s="5">
        <v>35</v>
      </c>
    </row>
    <row r="8" spans="1:9" ht="12" customHeight="1" x14ac:dyDescent="0.3">
      <c r="A8" s="37">
        <v>6</v>
      </c>
      <c r="B8" s="74"/>
      <c r="C8" s="78"/>
      <c r="D8" s="78"/>
      <c r="E8" s="6" t="s">
        <v>301</v>
      </c>
      <c r="F8" s="4" t="s">
        <v>302</v>
      </c>
      <c r="G8" s="4" t="s">
        <v>63</v>
      </c>
      <c r="H8" s="5">
        <f t="shared" si="0"/>
        <v>35</v>
      </c>
      <c r="I8" s="5">
        <v>35</v>
      </c>
    </row>
    <row r="9" spans="1:9" x14ac:dyDescent="0.3">
      <c r="A9" s="37">
        <v>7</v>
      </c>
      <c r="B9" s="74"/>
      <c r="C9" s="78"/>
      <c r="D9" s="34" t="s">
        <v>98</v>
      </c>
      <c r="E9" s="6" t="s">
        <v>303</v>
      </c>
      <c r="F9" s="4" t="s">
        <v>304</v>
      </c>
      <c r="G9" s="4" t="s">
        <v>44</v>
      </c>
      <c r="H9" s="5">
        <f t="shared" si="0"/>
        <v>15</v>
      </c>
      <c r="I9" s="5">
        <v>15</v>
      </c>
    </row>
    <row r="10" spans="1:9" ht="67.05" customHeight="1" x14ac:dyDescent="0.3">
      <c r="A10" s="37">
        <v>8</v>
      </c>
      <c r="B10" s="74"/>
      <c r="C10" s="78"/>
      <c r="D10" s="77" t="s">
        <v>99</v>
      </c>
      <c r="E10" s="6" t="s">
        <v>305</v>
      </c>
      <c r="F10" s="4" t="s">
        <v>306</v>
      </c>
      <c r="G10" s="4" t="s">
        <v>44</v>
      </c>
      <c r="H10" s="5">
        <f t="shared" si="0"/>
        <v>15</v>
      </c>
      <c r="I10" s="5">
        <v>15</v>
      </c>
    </row>
    <row r="11" spans="1:9" ht="31.8" customHeight="1" x14ac:dyDescent="0.3">
      <c r="A11" s="37">
        <v>9</v>
      </c>
      <c r="B11" s="74"/>
      <c r="C11" s="78"/>
      <c r="D11" s="77"/>
      <c r="E11" s="39" t="s">
        <v>307</v>
      </c>
      <c r="F11" s="34" t="s">
        <v>308</v>
      </c>
      <c r="G11" s="4" t="s">
        <v>63</v>
      </c>
      <c r="H11" s="5">
        <f t="shared" si="0"/>
        <v>35</v>
      </c>
      <c r="I11" s="5">
        <v>35</v>
      </c>
    </row>
    <row r="12" spans="1:9" ht="14.45" customHeight="1" x14ac:dyDescent="0.3">
      <c r="A12" s="37">
        <v>10</v>
      </c>
      <c r="B12" s="74"/>
      <c r="C12" s="78"/>
      <c r="D12" s="34" t="s">
        <v>100</v>
      </c>
      <c r="E12" s="39" t="s">
        <v>309</v>
      </c>
      <c r="F12" s="34" t="s">
        <v>310</v>
      </c>
      <c r="G12" s="4" t="s">
        <v>44</v>
      </c>
      <c r="H12" s="5">
        <f t="shared" si="0"/>
        <v>15</v>
      </c>
      <c r="I12" s="5">
        <v>15</v>
      </c>
    </row>
    <row r="13" spans="1:9" x14ac:dyDescent="0.3">
      <c r="A13" s="37">
        <v>11</v>
      </c>
      <c r="B13" s="74"/>
      <c r="C13" s="78"/>
      <c r="D13" s="34" t="s">
        <v>101</v>
      </c>
      <c r="E13" s="39" t="s">
        <v>171</v>
      </c>
      <c r="F13" s="34" t="s">
        <v>311</v>
      </c>
      <c r="G13" s="4" t="s">
        <v>63</v>
      </c>
      <c r="H13" s="5">
        <f t="shared" si="0"/>
        <v>35</v>
      </c>
      <c r="I13" s="5">
        <v>35</v>
      </c>
    </row>
    <row r="14" spans="1:9" ht="12" customHeight="1" x14ac:dyDescent="0.3">
      <c r="A14" s="37">
        <v>12</v>
      </c>
      <c r="B14" s="74"/>
      <c r="C14" s="78" t="s">
        <v>45</v>
      </c>
      <c r="D14" s="77" t="s">
        <v>102</v>
      </c>
      <c r="E14" s="39" t="s">
        <v>312</v>
      </c>
      <c r="F14" s="34" t="s">
        <v>313</v>
      </c>
      <c r="G14" s="4" t="s">
        <v>44</v>
      </c>
      <c r="H14" s="5">
        <f t="shared" si="0"/>
        <v>15</v>
      </c>
      <c r="I14" s="5">
        <v>15</v>
      </c>
    </row>
    <row r="15" spans="1:9" x14ac:dyDescent="0.3">
      <c r="A15" s="37">
        <v>13</v>
      </c>
      <c r="B15" s="74"/>
      <c r="C15" s="78"/>
      <c r="D15" s="77"/>
      <c r="E15" s="39" t="s">
        <v>314</v>
      </c>
      <c r="F15" s="34" t="s">
        <v>315</v>
      </c>
      <c r="G15" s="4" t="s">
        <v>44</v>
      </c>
      <c r="H15" s="5">
        <f t="shared" si="0"/>
        <v>15</v>
      </c>
      <c r="I15" s="5">
        <v>15</v>
      </c>
    </row>
    <row r="16" spans="1:9" x14ac:dyDescent="0.3">
      <c r="A16" s="37">
        <v>14</v>
      </c>
      <c r="B16" s="74"/>
      <c r="C16" s="78"/>
      <c r="D16" s="77" t="s">
        <v>45</v>
      </c>
      <c r="E16" s="39" t="s">
        <v>316</v>
      </c>
      <c r="F16" s="34" t="s">
        <v>317</v>
      </c>
      <c r="G16" s="4" t="s">
        <v>44</v>
      </c>
      <c r="H16" s="5">
        <f t="shared" si="0"/>
        <v>15</v>
      </c>
      <c r="I16" s="5">
        <v>15</v>
      </c>
    </row>
    <row r="17" spans="1:9" x14ac:dyDescent="0.3">
      <c r="A17" s="37">
        <v>15</v>
      </c>
      <c r="B17" s="74"/>
      <c r="C17" s="78"/>
      <c r="D17" s="77"/>
      <c r="E17" s="39" t="s">
        <v>318</v>
      </c>
      <c r="F17" s="34" t="s">
        <v>103</v>
      </c>
      <c r="G17" s="4" t="s">
        <v>44</v>
      </c>
      <c r="H17" s="5">
        <f t="shared" si="0"/>
        <v>15</v>
      </c>
      <c r="I17" s="5">
        <v>15</v>
      </c>
    </row>
    <row r="18" spans="1:9" x14ac:dyDescent="0.3">
      <c r="A18" s="37">
        <v>16</v>
      </c>
      <c r="B18" s="74"/>
      <c r="C18" s="78"/>
      <c r="D18" s="77"/>
      <c r="E18" s="39" t="s">
        <v>319</v>
      </c>
      <c r="F18" s="34" t="s">
        <v>320</v>
      </c>
      <c r="G18" s="4" t="s">
        <v>44</v>
      </c>
      <c r="H18" s="5">
        <f t="shared" si="0"/>
        <v>15</v>
      </c>
      <c r="I18" s="5">
        <v>15</v>
      </c>
    </row>
    <row r="19" spans="1:9" ht="14.45" customHeight="1" x14ac:dyDescent="0.3">
      <c r="A19" s="37">
        <v>17</v>
      </c>
      <c r="B19" s="74"/>
      <c r="C19" s="78" t="s">
        <v>104</v>
      </c>
      <c r="D19" s="82" t="s">
        <v>90</v>
      </c>
      <c r="E19" s="39" t="s">
        <v>321</v>
      </c>
      <c r="F19" s="34" t="s">
        <v>322</v>
      </c>
      <c r="G19" s="4" t="s">
        <v>44</v>
      </c>
      <c r="H19" s="5">
        <f t="shared" si="0"/>
        <v>15</v>
      </c>
      <c r="I19" s="5">
        <v>15</v>
      </c>
    </row>
    <row r="20" spans="1:9" ht="14.45" customHeight="1" x14ac:dyDescent="0.3">
      <c r="A20" s="37">
        <v>18</v>
      </c>
      <c r="B20" s="74"/>
      <c r="C20" s="78"/>
      <c r="D20" s="82"/>
      <c r="E20" s="7" t="s">
        <v>323</v>
      </c>
      <c r="F20" s="38" t="s">
        <v>324</v>
      </c>
      <c r="G20" s="4" t="s">
        <v>44</v>
      </c>
      <c r="H20" s="5">
        <f t="shared" si="0"/>
        <v>15</v>
      </c>
      <c r="I20" s="5">
        <v>15</v>
      </c>
    </row>
    <row r="21" spans="1:9" ht="14.45" customHeight="1" x14ac:dyDescent="0.3">
      <c r="A21" s="37">
        <v>19</v>
      </c>
      <c r="B21" s="74"/>
      <c r="C21" s="78"/>
      <c r="D21" s="83" t="s">
        <v>105</v>
      </c>
      <c r="E21" s="7" t="s">
        <v>325</v>
      </c>
      <c r="F21" s="38" t="s">
        <v>326</v>
      </c>
      <c r="G21" s="4" t="s">
        <v>44</v>
      </c>
      <c r="H21" s="5">
        <f t="shared" si="0"/>
        <v>15</v>
      </c>
      <c r="I21" s="5">
        <v>15</v>
      </c>
    </row>
    <row r="22" spans="1:9" ht="14.45" customHeight="1" x14ac:dyDescent="0.3">
      <c r="A22" s="37">
        <v>20</v>
      </c>
      <c r="B22" s="74"/>
      <c r="C22" s="78"/>
      <c r="D22" s="83"/>
      <c r="E22" s="39" t="s">
        <v>327</v>
      </c>
      <c r="F22" s="34" t="s">
        <v>328</v>
      </c>
      <c r="G22" s="4" t="s">
        <v>44</v>
      </c>
      <c r="H22" s="5">
        <f t="shared" si="0"/>
        <v>15</v>
      </c>
      <c r="I22" s="5">
        <v>15</v>
      </c>
    </row>
  </sheetData>
  <mergeCells count="13">
    <mergeCell ref="A2:H2"/>
    <mergeCell ref="B3:B22"/>
    <mergeCell ref="D14:D15"/>
    <mergeCell ref="C19:C22"/>
    <mergeCell ref="D19:D20"/>
    <mergeCell ref="D21:D22"/>
    <mergeCell ref="C3:C5"/>
    <mergeCell ref="D3:D5"/>
    <mergeCell ref="C6:C13"/>
    <mergeCell ref="D6:D8"/>
    <mergeCell ref="D10:D11"/>
    <mergeCell ref="C14:C18"/>
    <mergeCell ref="D16:D18"/>
  </mergeCells>
  <phoneticPr fontId="12" type="noConversion"/>
  <conditionalFormatting sqref="E23:E1048576 E1">
    <cfRule type="duplicateValues" dxfId="7" priority="1"/>
    <cfRule type="duplicateValues" dxfId="6" priority="2"/>
  </conditionalFormatting>
  <dataValidations count="1">
    <dataValidation type="list" allowBlank="1" showInputMessage="1" showErrorMessage="1" sqref="G3:G22" xr:uid="{00000000-0002-0000-0300-000000000000}">
      <formula1>"ILF,EIF"</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
  <sheetViews>
    <sheetView workbookViewId="0">
      <selection activeCell="E17" sqref="E17"/>
    </sheetView>
  </sheetViews>
  <sheetFormatPr defaultColWidth="8.9296875" defaultRowHeight="11.25" x14ac:dyDescent="0.3"/>
  <cols>
    <col min="1" max="1" width="4.9296875" style="1" customWidth="1"/>
    <col min="2" max="2" width="8.73046875" style="1" customWidth="1"/>
    <col min="3" max="3" width="11.46484375" style="1" customWidth="1"/>
    <col min="4" max="4" width="13.33203125" style="1" customWidth="1"/>
    <col min="5" max="5" width="21.19921875" style="1" customWidth="1"/>
    <col min="6" max="6" width="43.796875" style="1" customWidth="1"/>
    <col min="7" max="7" width="7.06640625" style="1" customWidth="1"/>
    <col min="8" max="8" width="6.796875" style="1" customWidth="1"/>
    <col min="9" max="9" width="7.33203125" style="1" customWidth="1"/>
    <col min="10" max="16384" width="8.9296875" style="1"/>
  </cols>
  <sheetData>
    <row r="1" spans="1:9" ht="22.5" x14ac:dyDescent="0.3">
      <c r="A1" s="44" t="s">
        <v>337</v>
      </c>
      <c r="B1" s="54" t="s">
        <v>40</v>
      </c>
      <c r="C1" s="54" t="s">
        <v>338</v>
      </c>
      <c r="D1" s="54" t="s">
        <v>339</v>
      </c>
      <c r="E1" s="54" t="s">
        <v>340</v>
      </c>
      <c r="F1" s="54" t="s">
        <v>341</v>
      </c>
      <c r="G1" s="54" t="s">
        <v>342</v>
      </c>
      <c r="H1" s="54" t="s">
        <v>41</v>
      </c>
      <c r="I1" s="2" t="s">
        <v>344</v>
      </c>
    </row>
    <row r="2" spans="1:9" x14ac:dyDescent="0.3">
      <c r="A2" s="85" t="s">
        <v>358</v>
      </c>
      <c r="B2" s="85"/>
      <c r="C2" s="85"/>
      <c r="D2" s="85"/>
      <c r="E2" s="85"/>
      <c r="F2" s="85"/>
      <c r="G2" s="85"/>
      <c r="H2" s="85"/>
      <c r="I2" s="2">
        <f>SUM(I3:I9)</f>
        <v>205</v>
      </c>
    </row>
    <row r="3" spans="1:9" ht="46.05" customHeight="1" x14ac:dyDescent="0.3">
      <c r="A3" s="41">
        <v>1</v>
      </c>
      <c r="B3" s="74" t="s">
        <v>358</v>
      </c>
      <c r="C3" s="55" t="s">
        <v>106</v>
      </c>
      <c r="D3" s="56" t="s">
        <v>107</v>
      </c>
      <c r="E3" s="40" t="s">
        <v>329</v>
      </c>
      <c r="F3" s="56" t="s">
        <v>108</v>
      </c>
      <c r="G3" s="56" t="s">
        <v>44</v>
      </c>
      <c r="H3" s="56">
        <f>IF(G3="ILF",35,IF(G3="EIF",15,""))</f>
        <v>15</v>
      </c>
      <c r="I3" s="3">
        <v>15</v>
      </c>
    </row>
    <row r="4" spans="1:9" ht="10.8" customHeight="1" x14ac:dyDescent="0.3">
      <c r="A4" s="37">
        <v>2</v>
      </c>
      <c r="B4" s="74"/>
      <c r="C4" s="64" t="s">
        <v>109</v>
      </c>
      <c r="D4" s="4" t="s">
        <v>110</v>
      </c>
      <c r="E4" s="27" t="s">
        <v>111</v>
      </c>
      <c r="F4" s="7" t="s">
        <v>330</v>
      </c>
      <c r="G4" s="4" t="s">
        <v>63</v>
      </c>
      <c r="H4" s="3">
        <f t="shared" ref="H4:H9" si="0">IF(G4="ILF",35,IF(G4="EIF",15,""))</f>
        <v>35</v>
      </c>
      <c r="I4" s="3">
        <v>35</v>
      </c>
    </row>
    <row r="5" spans="1:9" ht="22.5" x14ac:dyDescent="0.3">
      <c r="A5" s="37">
        <v>3</v>
      </c>
      <c r="B5" s="74"/>
      <c r="C5" s="65"/>
      <c r="D5" s="4" t="s">
        <v>112</v>
      </c>
      <c r="E5" s="27" t="s">
        <v>113</v>
      </c>
      <c r="F5" s="7" t="s">
        <v>331</v>
      </c>
      <c r="G5" s="4" t="s">
        <v>63</v>
      </c>
      <c r="H5" s="3">
        <f t="shared" si="0"/>
        <v>35</v>
      </c>
      <c r="I5" s="3">
        <v>35</v>
      </c>
    </row>
    <row r="6" spans="1:9" x14ac:dyDescent="0.3">
      <c r="A6" s="37">
        <v>4</v>
      </c>
      <c r="B6" s="74"/>
      <c r="C6" s="65"/>
      <c r="D6" s="4" t="s">
        <v>114</v>
      </c>
      <c r="E6" s="27" t="s">
        <v>115</v>
      </c>
      <c r="F6" s="7" t="s">
        <v>332</v>
      </c>
      <c r="G6" s="4" t="s">
        <v>63</v>
      </c>
      <c r="H6" s="3">
        <f t="shared" si="0"/>
        <v>35</v>
      </c>
      <c r="I6" s="3">
        <v>35</v>
      </c>
    </row>
    <row r="7" spans="1:9" x14ac:dyDescent="0.3">
      <c r="A7" s="37">
        <v>5</v>
      </c>
      <c r="B7" s="74"/>
      <c r="C7" s="65"/>
      <c r="D7" s="4" t="s">
        <v>116</v>
      </c>
      <c r="E7" s="27" t="s">
        <v>117</v>
      </c>
      <c r="F7" s="7" t="s">
        <v>333</v>
      </c>
      <c r="G7" s="4" t="s">
        <v>63</v>
      </c>
      <c r="H7" s="3">
        <f t="shared" si="0"/>
        <v>35</v>
      </c>
      <c r="I7" s="3">
        <v>35</v>
      </c>
    </row>
    <row r="8" spans="1:9" x14ac:dyDescent="0.3">
      <c r="A8" s="37">
        <v>6</v>
      </c>
      <c r="B8" s="74"/>
      <c r="C8" s="66"/>
      <c r="D8" s="4" t="s">
        <v>118</v>
      </c>
      <c r="E8" s="27" t="s">
        <v>119</v>
      </c>
      <c r="F8" s="7" t="s">
        <v>334</v>
      </c>
      <c r="G8" s="4" t="s">
        <v>63</v>
      </c>
      <c r="H8" s="3">
        <f t="shared" si="0"/>
        <v>35</v>
      </c>
      <c r="I8" s="3">
        <v>35</v>
      </c>
    </row>
    <row r="9" spans="1:9" ht="22.8" customHeight="1" x14ac:dyDescent="0.3">
      <c r="A9" s="37">
        <v>7</v>
      </c>
      <c r="B9" s="74"/>
      <c r="C9" s="6" t="s">
        <v>120</v>
      </c>
      <c r="D9" s="4" t="s">
        <v>121</v>
      </c>
      <c r="E9" s="6" t="s">
        <v>335</v>
      </c>
      <c r="F9" s="7" t="s">
        <v>336</v>
      </c>
      <c r="G9" s="4" t="s">
        <v>44</v>
      </c>
      <c r="H9" s="3">
        <f t="shared" si="0"/>
        <v>15</v>
      </c>
      <c r="I9" s="3">
        <v>15</v>
      </c>
    </row>
  </sheetData>
  <mergeCells count="3">
    <mergeCell ref="B3:B9"/>
    <mergeCell ref="C4:C8"/>
    <mergeCell ref="A2:H2"/>
  </mergeCells>
  <phoneticPr fontId="12" type="noConversion"/>
  <conditionalFormatting sqref="D4:D9">
    <cfRule type="duplicateValues" dxfId="5" priority="173"/>
    <cfRule type="duplicateValues" dxfId="4" priority="174"/>
  </conditionalFormatting>
  <conditionalFormatting sqref="E10:E1048576 E1">
    <cfRule type="duplicateValues" dxfId="3" priority="13"/>
    <cfRule type="duplicateValues" dxfId="2" priority="14"/>
  </conditionalFormatting>
  <conditionalFormatting sqref="E3 E9">
    <cfRule type="duplicateValues" dxfId="1" priority="1"/>
    <cfRule type="duplicateValues" dxfId="0" priority="2"/>
  </conditionalFormatting>
  <dataValidations count="1">
    <dataValidation type="list" allowBlank="1" showInputMessage="1" showErrorMessage="1" sqref="G3:G9" xr:uid="{00000000-0002-0000-0400-000000000000}">
      <formula1>"ILF,EIF"</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表1-1 预算总表</vt:lpstr>
      <vt:lpstr>应用系统定制开发工作量汇总附表2</vt:lpstr>
      <vt:lpstr>应用系统定制开发工作量明细表3-1-服务业综合评价管理系统</vt:lpstr>
      <vt:lpstr>应用系统定制开发工作量明细表3-2参评企业服务系统</vt:lpstr>
      <vt:lpstr>应用系统定制开发工作量明细表3-3认证服务管理系统</vt:lpstr>
    </vt:vector>
  </TitlesOfParts>
  <Company>广东数字政府研究院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预算编制标准功能点估算法参考计算表</dc:title>
  <dc:subject>功能点估算法</dc:subject>
  <dc:creator>yuyan</dc:creator>
  <cp:lastModifiedBy>sun</cp:lastModifiedBy>
  <cp:lastPrinted>2021-06-01T03:36:00Z</cp:lastPrinted>
  <dcterms:created xsi:type="dcterms:W3CDTF">2012-10-15T13:58:00Z</dcterms:created>
  <dcterms:modified xsi:type="dcterms:W3CDTF">2023-03-10T02:48:04Z</dcterms:modified>
  <cp:category>规范文档附件</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2052-11.1.0.11115</vt:lpwstr>
  </property>
  <property fmtid="{D5CDD505-2E9C-101B-9397-08002B2CF9AE}" pid="3" name="ICV">
    <vt:lpwstr>6FD8D4C2BC464E00850BC7067AF8FCEC</vt:lpwstr>
  </property>
</Properties>
</file>