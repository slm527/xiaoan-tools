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公司方案\2022\2022西藏\202204 拉萨柳梧新区\"/>
    </mc:Choice>
  </mc:AlternateContent>
  <bookViews>
    <workbookView xWindow="0" yWindow="0" windowWidth="20490" windowHeight="7005" tabRatio="995" activeTab="2"/>
  </bookViews>
  <sheets>
    <sheet name="01-功能点明细" sheetId="9" r:id="rId1"/>
    <sheet name="02-开发费（CSBMK-2021）" sheetId="10" r:id="rId2"/>
    <sheet name="03-2021年西藏年鉴行业平均工资" sheetId="11" r:id="rId3"/>
  </sheets>
  <definedNames>
    <definedName name="_xlnm._FilterDatabase" localSheetId="0" hidden="1">'01-功能点明细'!$A$1:$M$14</definedName>
    <definedName name="_Toc101204374" localSheetId="0">'01-功能点明细'!#REF!</definedName>
    <definedName name="_Toc101204375" localSheetId="0">'01-功能点明细'!#REF!</definedName>
    <definedName name="_Toc101778034" localSheetId="0">'01-功能点明细'!#REF!</definedName>
    <definedName name="_Toc102466226" localSheetId="0">'01-功能点明细'!#REF!</definedName>
    <definedName name="_Toc36219992" localSheetId="0">'01-功能点明细'!#REF!</definedName>
    <definedName name="_Toc36219993" localSheetId="0">'01-功能点明细'!#REF!</definedName>
    <definedName name="_Toc36219994" localSheetId="0">'01-功能点明细'!#REF!</definedName>
    <definedName name="_Toc36219995" localSheetId="0">'01-功能点明细'!#REF!</definedName>
    <definedName name="_Toc36220001" localSheetId="0">'01-功能点明细'!#REF!</definedName>
    <definedName name="_Toc36220002" localSheetId="0">'01-功能点明细'!#REF!</definedName>
    <definedName name="_Toc3905106" localSheetId="0">'01-功能点明细'!#REF!</definedName>
    <definedName name="_Toc40349330" localSheetId="0">'01-功能点明细'!#REF!</definedName>
    <definedName name="_Toc48903108" localSheetId="0">'01-功能点明细'!#REF!</definedName>
    <definedName name="_Toc73947243" localSheetId="0">'01-功能点明细'!#REF!</definedName>
    <definedName name="_Toc73947253" localSheetId="0">'01-功能点明细'!#REF!</definedName>
    <definedName name="_Toc73947254" localSheetId="0">'01-功能点明细'!#REF!</definedName>
    <definedName name="_Toc73947255" localSheetId="0">'01-功能点明细'!#REF!</definedName>
    <definedName name="_Toc73947259" localSheetId="0">'01-功能点明细'!#REF!</definedName>
    <definedName name="_Toc93652991" localSheetId="0">'01-功能点明细'!#REF!</definedName>
    <definedName name="_Toc93652992" localSheetId="0">'01-功能点明细'!#REF!</definedName>
    <definedName name="_Toc93652994" localSheetId="0">'01-功能点明细'!#REF!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0" l="1"/>
  <c r="G30" i="10" l="1"/>
  <c r="G29" i="10"/>
  <c r="G12" i="10"/>
  <c r="G4" i="10"/>
  <c r="I11" i="9" l="1"/>
  <c r="L11" i="9" s="1"/>
  <c r="I10" i="9"/>
  <c r="L10" i="9" s="1"/>
  <c r="I9" i="9"/>
  <c r="L9" i="9" s="1"/>
  <c r="I12" i="9" l="1"/>
  <c r="L12" i="9" s="1"/>
  <c r="I8" i="9"/>
  <c r="L8" i="9" s="1"/>
  <c r="I7" i="9"/>
  <c r="L7" i="9" s="1"/>
  <c r="I6" i="9"/>
  <c r="L6" i="9" s="1"/>
  <c r="I5" i="9"/>
  <c r="L5" i="9" s="1"/>
  <c r="L13" i="9" l="1"/>
  <c r="C3" i="9"/>
  <c r="G5" i="10" s="1"/>
  <c r="I13" i="9"/>
  <c r="C2" i="9"/>
  <c r="G10" i="10" l="1"/>
  <c r="G18" i="10" s="1"/>
  <c r="G11" i="10"/>
  <c r="G19" i="10" s="1"/>
  <c r="G9" i="10"/>
  <c r="G17" i="10" s="1"/>
  <c r="G23" i="10" l="1"/>
  <c r="G32" i="10"/>
  <c r="G25" i="10"/>
  <c r="G27" i="10" s="1"/>
  <c r="G34" i="10"/>
  <c r="G24" i="10"/>
  <c r="G33" i="10"/>
</calcChain>
</file>

<file path=xl/comments1.xml><?xml version="1.0" encoding="utf-8"?>
<comments xmlns="http://schemas.openxmlformats.org/spreadsheetml/2006/main">
  <authors>
    <author>ccm</author>
  </authors>
  <commentList>
    <comment ref="I4" authorId="0" shapeId="0">
      <text>
        <r>
          <rPr>
            <b/>
            <sz val="9"/>
            <rFont val="宋体"/>
            <family val="3"/>
            <charset val="134"/>
          </rPr>
          <t>ccm:</t>
        </r>
        <r>
          <rPr>
            <sz val="9"/>
            <rFont val="宋体"/>
            <family val="3"/>
            <charset val="134"/>
          </rPr>
          <t xml:space="preserve">
在规模估算的不同阶段，应考虑规模蔓延对项目范围的影响。
在估算早期（如概算、预算阶段），规模调整因子取值为1.39；
在估算中期（如投标、项目计划阶段），规模调整因子取值为1.22；
在估算晚期（如需求分析阶段），规模调整因子取值为1.00；</t>
        </r>
      </text>
    </comment>
    <comment ref="H12" authorId="0" shapeId="0">
      <text>
        <r>
          <rPr>
            <b/>
            <sz val="9"/>
            <rFont val="宋体"/>
            <family val="3"/>
            <charset val="134"/>
          </rPr>
          <t>ccm:</t>
        </r>
        <r>
          <rPr>
            <sz val="9"/>
            <rFont val="宋体"/>
            <family val="3"/>
            <charset val="134"/>
          </rPr>
          <t xml:space="preserve">
(1)业务处理应用:OA、公文、人事、会计、工资、销售等经营管理及业务处理应用软件--1；
(2)科技、应用集成:科学计算、模拟、空白表格程序，统计，CAE（计算机辅助工程）等企业服务总线、应用集成等--1.2；
(3)多媒体应用:图表，影像，声音等多媒体应用领域，地理信息系统，教育和媒体应用等1.3
(4)智能信息应用:自然语言处理，人工智能，专家系统等--1.7；
(5)系统应用:操作系统，语言处理程序，DBMS，人与机器的接口，窗口系统，CASE，实用程序等--1.7；
(6)通信控制应用:通信协议，仿真，交换机软件，GPS等--1.9；
(7)流程控制应用:生产管理，CAM（计算机辅助制造），CIM（计算机集成制造），仪器控制，机器人控制，实时控制，内置性软件等--2。</t>
        </r>
      </text>
    </comment>
    <comment ref="I26" authorId="0" shapeId="0">
      <text>
        <r>
          <rPr>
            <b/>
            <sz val="9"/>
            <rFont val="宋体"/>
            <family val="3"/>
            <charset val="134"/>
          </rPr>
          <t>ccm:</t>
        </r>
        <r>
          <rPr>
            <sz val="9"/>
            <rFont val="宋体"/>
            <family val="3"/>
            <charset val="134"/>
          </rPr>
          <t xml:space="preserve">
直接非人力成本包含：办公费，即开发方为研发此项目而产生的行政办公费用，如办公用品、通讯、邮寄、印刷、会议等；差旅费，即开发方为研发此项目而产生的差旅费用，如交通、住宿、差旅补贴等；培训费，即开发方为研发此项目而安排的特别培训产生的费用；业务费，即开发方为完成此项目研发工作所需辅助活动产生的费用，如招待费、评审费、验收费等；采购费，即开发方为研发此项目而需特殊采购专用资产或服务的费用，如专用设备费、专用软件费、技术协作费、专利费等；其他，未在以上项目列出但确系开发方为研发此项目所需花费的费用。</t>
        </r>
      </text>
    </comment>
    <comment ref="I31" authorId="0" shapeId="0">
      <text>
        <r>
          <rPr>
            <b/>
            <sz val="9"/>
            <rFont val="宋体"/>
            <family val="3"/>
            <charset val="134"/>
          </rPr>
          <t>ccm:</t>
        </r>
        <r>
          <rPr>
            <sz val="9"/>
            <rFont val="宋体"/>
            <family val="3"/>
            <charset val="134"/>
          </rPr>
          <t xml:space="preserve">
直接非人力成本包含：办公费，即开发方为研发此项目而产生的行政办公费用，如办公用品、通讯、邮寄、印刷、会议等；差旅费，即开发方为研发此项目而产生的差旅费用，如交通、住宿、差旅补贴等；培训费，即开发方为研发此项目而安排的特别培训产生的费用；业务费，即开发方为完成此项目研发工作所需辅助活动产生的费用，如招待费、评审费、验收费等；采购费，即开发方为研发此项目而需特殊采购专用资产或服务的费用，如专用设备费、专用软件费、技术协作费、专利费等；其他，未在以上项目列出但确系开发方为研发此项目所需花费的费用。</t>
        </r>
      </text>
    </comment>
  </commentList>
</comments>
</file>

<file path=xl/sharedStrings.xml><?xml version="1.0" encoding="utf-8"?>
<sst xmlns="http://schemas.openxmlformats.org/spreadsheetml/2006/main" count="182" uniqueCount="133">
  <si>
    <t>规模估算方法</t>
  </si>
  <si>
    <t>估算功能点</t>
  </si>
  <si>
    <t>功能点合计</t>
  </si>
  <si>
    <t>单位：FP</t>
  </si>
  <si>
    <t>第1次调整后功能点</t>
  </si>
  <si>
    <t>编号</t>
  </si>
  <si>
    <t>子系统</t>
  </si>
  <si>
    <t>一级模块</t>
  </si>
  <si>
    <t>二级模块</t>
  </si>
  <si>
    <t>三级模块</t>
  </si>
  <si>
    <t>四级模块</t>
  </si>
  <si>
    <t>功能点计数项名称</t>
  </si>
  <si>
    <t>类别（ILF/EIF/EI/EO/EQ）</t>
  </si>
  <si>
    <t>UFP</t>
  </si>
  <si>
    <t>重用程度</t>
  </si>
  <si>
    <t>修改类型</t>
  </si>
  <si>
    <t>US</t>
  </si>
  <si>
    <t>备注</t>
  </si>
  <si>
    <t>ILF</t>
  </si>
  <si>
    <t>低</t>
  </si>
  <si>
    <t>新增</t>
  </si>
  <si>
    <t>EI</t>
  </si>
  <si>
    <t>EIF</t>
  </si>
  <si>
    <t>说明</t>
  </si>
  <si>
    <t>调整前功能点UFP=功能点计数项名称(ILF*10+EIF*7+EI*4+EO*5+EQ*4)之和</t>
  </si>
  <si>
    <t>低：系数为3/3(即1）；
中：系数为2/3；
高：系数为1/3。</t>
  </si>
  <si>
    <t>第1次调整后功能点US=UFP*重用系数*修改类型系数；
(求和时向上取整）</t>
  </si>
  <si>
    <t>序号</t>
  </si>
  <si>
    <t>类别</t>
  </si>
  <si>
    <t>代号</t>
  </si>
  <si>
    <t>单位</t>
  </si>
  <si>
    <t>值</t>
  </si>
  <si>
    <t>选择</t>
  </si>
  <si>
    <t>引用标准</t>
  </si>
  <si>
    <t>规模估算结果</t>
  </si>
  <si>
    <t>功能点（FP）</t>
  </si>
  <si>
    <r>
      <rPr>
        <sz val="11"/>
        <color theme="1"/>
        <rFont val="宋体"/>
        <family val="3"/>
        <charset val="134"/>
        <scheme val="minor"/>
      </rPr>
      <t xml:space="preserve">引用计算模板样式中的1次调整后功能点；
</t>
    </r>
    <r>
      <rPr>
        <u/>
        <sz val="11"/>
        <color rgb="FFFF0000"/>
        <rFont val="宋体"/>
        <family val="3"/>
        <charset val="134"/>
        <scheme val="minor"/>
      </rPr>
      <t>未进行功能吻合度调整</t>
    </r>
  </si>
  <si>
    <t>规模变更因子</t>
  </si>
  <si>
    <t>CF</t>
  </si>
  <si>
    <t>估算早期</t>
  </si>
  <si>
    <t>根据估算时机取值</t>
  </si>
  <si>
    <t>第2次调整后规模</t>
  </si>
  <si>
    <t>S</t>
  </si>
  <si>
    <t>功能点</t>
  </si>
  <si>
    <t>S=US*CF,向上取整。</t>
  </si>
  <si>
    <t>PDR</t>
  </si>
  <si>
    <t>人时/功能点</t>
  </si>
  <si>
    <t>功能点耗时率下限</t>
  </si>
  <si>
    <t>功能点耗时率中限</t>
  </si>
  <si>
    <t>功能点耗时率上限</t>
  </si>
  <si>
    <t>第2次调整后工作量</t>
  </si>
  <si>
    <t>PDR*S</t>
  </si>
  <si>
    <t>人天</t>
  </si>
  <si>
    <t>下限</t>
  </si>
  <si>
    <t>第2次调整工作量=S*PDR/8(1人天等于8人时计算)。</t>
  </si>
  <si>
    <t>中值</t>
  </si>
  <si>
    <t>上限</t>
  </si>
  <si>
    <t>调整因子SWF</t>
  </si>
  <si>
    <t>AT</t>
  </si>
  <si>
    <t>应用类型</t>
  </si>
  <si>
    <t>业务处理应用</t>
  </si>
  <si>
    <t>业务处理类型</t>
  </si>
  <si>
    <t>QR</t>
  </si>
  <si>
    <t>质量要求调整因子</t>
  </si>
  <si>
    <t>无特别限定</t>
  </si>
  <si>
    <t>完整性级别</t>
  </si>
  <si>
    <t>开发因素调整因子</t>
  </si>
  <si>
    <t>RDF</t>
  </si>
  <si>
    <t>开发语言</t>
  </si>
  <si>
    <t>开发团队背景</t>
  </si>
  <si>
    <t>第3次调整后工作量</t>
  </si>
  <si>
    <t>AE</t>
  </si>
  <si>
    <t>11.1</t>
  </si>
  <si>
    <t>元</t>
  </si>
  <si>
    <t>11.2</t>
  </si>
  <si>
    <t>标准系数</t>
  </si>
  <si>
    <t>本处取2.265</t>
  </si>
  <si>
    <t>人月基准费率单价</t>
  </si>
  <si>
    <t>HM2-1</t>
  </si>
  <si>
    <t>万元/人月</t>
  </si>
  <si>
    <t>测算1</t>
  </si>
  <si>
    <t>P1</t>
  </si>
  <si>
    <t>万元</t>
  </si>
  <si>
    <t>直接非人力成本</t>
  </si>
  <si>
    <t>DNC</t>
  </si>
  <si>
    <t>总报价</t>
  </si>
  <si>
    <t>基准报价+直接非人力成本</t>
  </si>
  <si>
    <t>人月折算系数</t>
  </si>
  <si>
    <t>HM2-2</t>
  </si>
  <si>
    <t>人时/人月</t>
  </si>
  <si>
    <t>1人天等于8人时计算，1人月等于21.75人天计算，故174人时/人月</t>
  </si>
  <si>
    <t>平均人力成本费率</t>
  </si>
  <si>
    <t>F2</t>
  </si>
  <si>
    <t>元/人月</t>
  </si>
  <si>
    <t>包括开发方直接人力成本、间接成本及毛利率</t>
  </si>
  <si>
    <t>测算2</t>
  </si>
  <si>
    <t>预算费用</t>
  </si>
  <si>
    <t>P2</t>
  </si>
  <si>
    <t>P=AE*8/(HM2-2)*F2+DNC</t>
    <phoneticPr fontId="9" type="noConversion"/>
  </si>
  <si>
    <t>用户管理</t>
  </si>
  <si>
    <t>用户信息修改</t>
  </si>
  <si>
    <t>密码修改</t>
  </si>
  <si>
    <t>实名认证</t>
  </si>
  <si>
    <t>用户登录</t>
  </si>
  <si>
    <t>合计</t>
  </si>
  <si>
    <r>
      <t xml:space="preserve">新增：系数为1；
</t>
    </r>
    <r>
      <rPr>
        <u/>
        <sz val="12"/>
        <rFont val="宋体"/>
        <family val="3"/>
        <charset val="134"/>
        <scheme val="minor"/>
      </rPr>
      <t>修改：系数为0；
删除：系数为0。</t>
    </r>
  </si>
  <si>
    <t>人月基准费率=标准系数*2020年西藏年鉴行业平均工资</t>
    <phoneticPr fontId="9" type="noConversion"/>
  </si>
  <si>
    <t>（藏发改产业办函〔2021〕67号）关于明确中央预算内信息化项目软件工程造价审核标准的通知20210210(封存)</t>
    <phoneticPr fontId="9" type="noConversion"/>
  </si>
  <si>
    <t>单位：FP</t>
    <phoneticPr fontId="9" type="noConversion"/>
  </si>
  <si>
    <t>ILF为内部逻辑文件，软件内部需要维护（如增删改查）的数据，权重取值为10；
EIF为外部接口文件，即在其他系统中维护但本软件需要调用的数据，权重取值为7；
EI为外部输入，即处理来自应用边界外的数据或控制信息和维护一个或多个ILF或改变应用行为，权重取值为4；
EO为外部输出，即发送数据或控制信息到边界外部，权重取值为5；
EQ为外部查询，即把数据或控制信息发送到边界外部，权重取值为4。</t>
    <phoneticPr fontId="9" type="noConversion"/>
  </si>
  <si>
    <t>一、“一网通办”门户</t>
    <phoneticPr fontId="9" type="noConversion"/>
  </si>
  <si>
    <t>用户登录</t>
    <phoneticPr fontId="9" type="noConversion"/>
  </si>
  <si>
    <t>用户登录错误信息</t>
    <phoneticPr fontId="9" type="noConversion"/>
  </si>
  <si>
    <t>用户登记成功信息</t>
    <phoneticPr fontId="9" type="noConversion"/>
  </si>
  <si>
    <t>用户信息</t>
    <phoneticPr fontId="9" type="noConversion"/>
  </si>
  <si>
    <t>用户登录记录</t>
    <phoneticPr fontId="9" type="noConversion"/>
  </si>
  <si>
    <t>福建省邮电规划设计院有限公司开发费用测算</t>
    <phoneticPr fontId="9" type="noConversion"/>
  </si>
  <si>
    <t>福建省邮电规划设计院有限公司</t>
    <phoneticPr fontId="16" type="noConversion"/>
  </si>
  <si>
    <t>基准生产率</t>
    <phoneticPr fontId="9" type="noConversion"/>
  </si>
  <si>
    <t>规模变更因子</t>
    <phoneticPr fontId="9" type="noConversion"/>
  </si>
  <si>
    <t>平均人力成本费率数值</t>
    <phoneticPr fontId="9" type="noConversion"/>
  </si>
  <si>
    <t>中值CSBMK-2021全行业</t>
    <phoneticPr fontId="9" type="noConversion"/>
  </si>
  <si>
    <r>
      <t>202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年中国软件行业基准数据</t>
    </r>
    <phoneticPr fontId="9" type="noConversion"/>
  </si>
  <si>
    <t>基准报价=人天基准单位(HM2-1)/21.75(1人月等于21.75人天计算)*调整后工作量。</t>
    <phoneticPr fontId="9" type="noConversion"/>
  </si>
  <si>
    <t>基准报价（不包含直接非人力成本）</t>
    <phoneticPr fontId="9" type="noConversion"/>
  </si>
  <si>
    <t>第3次调整后工作量=未调整工作量*SWF（应用类型*质量要求调整因子*完整性级别）*RDF(开发语言*开发团队)</t>
    <phoneticPr fontId="9" type="noConversion"/>
  </si>
  <si>
    <r>
      <t>2021</t>
    </r>
    <r>
      <rPr>
        <sz val="11"/>
        <color theme="1"/>
        <rFont val="宋体"/>
        <family val="3"/>
        <charset val="134"/>
        <scheme val="minor"/>
      </rPr>
      <t>年中国软件行业基准数据</t>
    </r>
    <phoneticPr fontId="9" type="noConversion"/>
  </si>
  <si>
    <t>依据《重庆市信息化项目软件开发费用测算指南V5.0》中软件企业为平均税前工资的2.265-2.375倍之间</t>
    <phoneticPr fontId="9" type="noConversion"/>
  </si>
  <si>
    <t>信息传输、计算机服务和软件业类年平均工资</t>
    <phoneticPr fontId="9" type="noConversion"/>
  </si>
  <si>
    <t>2021年中国软件行业基准数据</t>
    <phoneticPr fontId="9" type="noConversion"/>
  </si>
  <si>
    <t>2021年西藏年鉴行业平均工资</t>
    <phoneticPr fontId="9" type="noConversion"/>
  </si>
  <si>
    <t>03-2021年西藏年鉴行业平均工资</t>
    <phoneticPr fontId="9" type="noConversion"/>
  </si>
  <si>
    <t>http://www.stats.gov.cn/tjsj/ndsj/2021/indexch.htm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</si>
</sst>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_ "/>
    <numFmt numFmtId="177" formatCode="0.00_ "/>
    <numFmt numFmtId="178" formatCode="0_ "/>
  </numFmts>
  <fonts count="19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u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.5"/>
      <name val="方正仿宋_GBK"/>
      <charset val="134"/>
    </font>
    <font>
      <u/>
      <sz val="12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rgb="FFFF000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8" fillId="0" borderId="0"/>
    <xf numFmtId="0" fontId="18" fillId="0" borderId="0" applyNumberForma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7" fontId="0" fillId="0" borderId="3" xfId="0" applyNumberFormat="1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77" fontId="3" fillId="2" borderId="3" xfId="0" applyNumberFormat="1" applyFont="1" applyFill="1" applyBorder="1" applyAlignment="1">
      <alignment horizontal="center" vertical="center" wrapText="1"/>
    </xf>
    <xf numFmtId="177" fontId="1" fillId="3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3" xfId="0" quotePrefix="1" applyFill="1" applyBorder="1" applyAlignment="1">
      <alignment horizontal="center" vertical="center" wrapText="1"/>
    </xf>
    <xf numFmtId="0" fontId="13" fillId="4" borderId="3" xfId="1" applyFont="1" applyFill="1" applyBorder="1" applyAlignment="1">
      <alignment horizontal="left" vertical="top" wrapText="1"/>
    </xf>
    <xf numFmtId="178" fontId="14" fillId="4" borderId="3" xfId="1" applyNumberFormat="1" applyFont="1" applyFill="1" applyBorder="1" applyAlignment="1">
      <alignment horizontal="center" vertical="top" wrapText="1"/>
    </xf>
    <xf numFmtId="0" fontId="8" fillId="4" borderId="0" xfId="1" applyFill="1" applyAlignment="1">
      <alignment horizontal="center" vertical="top"/>
    </xf>
    <xf numFmtId="0" fontId="8" fillId="4" borderId="0" xfId="1" applyFill="1" applyAlignment="1">
      <alignment horizontal="center" vertical="center"/>
    </xf>
    <xf numFmtId="0" fontId="8" fillId="4" borderId="0" xfId="1" applyFill="1">
      <alignment vertical="center"/>
    </xf>
    <xf numFmtId="0" fontId="3" fillId="4" borderId="0" xfId="1" applyFont="1" applyFill="1" applyAlignment="1">
      <alignment horizontal="center" vertical="top"/>
    </xf>
    <xf numFmtId="0" fontId="3" fillId="4" borderId="0" xfId="1" applyFont="1" applyFill="1" applyAlignment="1">
      <alignment horizontal="center" vertical="center"/>
    </xf>
    <xf numFmtId="0" fontId="10" fillId="4" borderId="0" xfId="1" applyFont="1" applyFill="1" applyAlignment="1">
      <alignment horizontal="left" vertical="center"/>
    </xf>
    <xf numFmtId="0" fontId="12" fillId="4" borderId="0" xfId="1" applyFont="1" applyFill="1" applyAlignment="1">
      <alignment horizontal="left" vertical="center"/>
    </xf>
    <xf numFmtId="0" fontId="10" fillId="4" borderId="0" xfId="1" applyFont="1" applyFill="1" applyAlignment="1">
      <alignment horizontal="left" vertical="center" wrapText="1"/>
    </xf>
    <xf numFmtId="0" fontId="11" fillId="4" borderId="0" xfId="1" applyFont="1" applyFill="1" applyAlignment="1">
      <alignment horizontal="left" vertical="center"/>
    </xf>
    <xf numFmtId="0" fontId="13" fillId="4" borderId="3" xfId="1" applyFont="1" applyFill="1" applyBorder="1" applyAlignment="1">
      <alignment horizontal="center" vertical="top" wrapText="1"/>
    </xf>
    <xf numFmtId="178" fontId="10" fillId="4" borderId="3" xfId="1" applyNumberFormat="1" applyFont="1" applyFill="1" applyBorder="1" applyAlignment="1">
      <alignment horizontal="center" vertical="top" wrapText="1"/>
    </xf>
    <xf numFmtId="0" fontId="10" fillId="4" borderId="0" xfId="1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top" wrapText="1"/>
    </xf>
    <xf numFmtId="0" fontId="10" fillId="4" borderId="3" xfId="1" applyFont="1" applyFill="1" applyBorder="1" applyAlignment="1">
      <alignment horizontal="left" vertical="top" wrapText="1"/>
    </xf>
    <xf numFmtId="0" fontId="10" fillId="4" borderId="3" xfId="1" applyFont="1" applyFill="1" applyBorder="1" applyAlignment="1">
      <alignment horizontal="center" vertical="top" wrapText="1"/>
    </xf>
    <xf numFmtId="0" fontId="13" fillId="4" borderId="7" xfId="1" applyFont="1" applyFill="1" applyBorder="1" applyAlignment="1">
      <alignment horizontal="center" vertical="top" wrapText="1"/>
    </xf>
    <xf numFmtId="0" fontId="10" fillId="4" borderId="3" xfId="1" applyFont="1" applyFill="1" applyBorder="1" applyAlignment="1">
      <alignment horizontal="center" vertical="top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178" fontId="17" fillId="4" borderId="3" xfId="1" applyNumberFormat="1" applyFont="1" applyFill="1" applyBorder="1" applyAlignment="1">
      <alignment horizontal="center" vertical="top" wrapText="1"/>
    </xf>
    <xf numFmtId="0" fontId="10" fillId="4" borderId="2" xfId="1" applyFont="1" applyFill="1" applyBorder="1" applyAlignment="1">
      <alignment horizontal="center" vertical="top" wrapText="1"/>
    </xf>
    <xf numFmtId="0" fontId="10" fillId="4" borderId="4" xfId="1" applyFont="1" applyFill="1" applyBorder="1" applyAlignment="1">
      <alignment horizontal="center" vertical="top" wrapText="1"/>
    </xf>
    <xf numFmtId="0" fontId="10" fillId="4" borderId="1" xfId="1" applyFont="1" applyFill="1" applyBorder="1" applyAlignment="1">
      <alignment horizontal="center" vertical="top" wrapText="1"/>
    </xf>
    <xf numFmtId="0" fontId="10" fillId="4" borderId="2" xfId="1" applyFont="1" applyFill="1" applyBorder="1" applyAlignment="1">
      <alignment horizontal="right" vertical="top" wrapText="1"/>
    </xf>
    <xf numFmtId="0" fontId="10" fillId="4" borderId="1" xfId="1" applyFont="1" applyFill="1" applyBorder="1" applyAlignment="1">
      <alignment horizontal="right" vertical="top" wrapText="1"/>
    </xf>
    <xf numFmtId="0" fontId="10" fillId="4" borderId="4" xfId="1" applyFont="1" applyFill="1" applyBorder="1" applyAlignment="1">
      <alignment horizontal="right" vertical="top" wrapText="1"/>
    </xf>
    <xf numFmtId="0" fontId="13" fillId="4" borderId="5" xfId="1" applyFont="1" applyFill="1" applyBorder="1" applyAlignment="1">
      <alignment horizontal="left" vertical="top" wrapText="1"/>
    </xf>
    <xf numFmtId="0" fontId="13" fillId="4" borderId="6" xfId="1" applyFont="1" applyFill="1" applyBorder="1" applyAlignment="1">
      <alignment horizontal="left" vertical="top" wrapText="1"/>
    </xf>
    <xf numFmtId="0" fontId="13" fillId="4" borderId="7" xfId="1" applyFont="1" applyFill="1" applyBorder="1" applyAlignment="1">
      <alignment horizontal="left" vertical="top" wrapText="1"/>
    </xf>
    <xf numFmtId="49" fontId="13" fillId="4" borderId="5" xfId="1" applyNumberFormat="1" applyFont="1" applyFill="1" applyBorder="1" applyAlignment="1">
      <alignment horizontal="center" vertical="top" wrapText="1"/>
    </xf>
    <xf numFmtId="49" fontId="13" fillId="4" borderId="6" xfId="1" applyNumberFormat="1" applyFont="1" applyFill="1" applyBorder="1" applyAlignment="1">
      <alignment horizontal="center" vertical="top" wrapText="1"/>
    </xf>
    <xf numFmtId="0" fontId="13" fillId="4" borderId="5" xfId="1" applyFont="1" applyFill="1" applyBorder="1" applyAlignment="1">
      <alignment horizontal="center" vertical="top" wrapText="1"/>
    </xf>
    <xf numFmtId="0" fontId="13" fillId="4" borderId="6" xfId="1" applyFont="1" applyFill="1" applyBorder="1" applyAlignment="1">
      <alignment horizontal="center" vertical="top" wrapText="1"/>
    </xf>
    <xf numFmtId="0" fontId="13" fillId="4" borderId="7" xfId="1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77" fontId="0" fillId="5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3" applyAlignment="1">
      <alignment horizontal="center" vertical="center"/>
    </xf>
  </cellXfs>
  <cellStyles count="4">
    <cellStyle name="常规" xfId="0" builtinId="0"/>
    <cellStyle name="常规 2" xfId="1"/>
    <cellStyle name="常规 2 2" xfId="2"/>
    <cellStyle name="超链接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</xdr:row>
      <xdr:rowOff>95250</xdr:rowOff>
    </xdr:from>
    <xdr:to>
      <xdr:col>17</xdr:col>
      <xdr:colOff>255270</xdr:colOff>
      <xdr:row>72</xdr:row>
      <xdr:rowOff>150019</xdr:rowOff>
    </xdr:to>
    <xdr:pic>
      <xdr:nvPicPr>
        <xdr:cNvPr id="2" name="图片 1" descr="http://www.stats.gov.cn/tjsj/ndsj/2021/html/C04-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66700"/>
          <a:ext cx="11713845" cy="12227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李世杰" id="{96F840E3-CB95-4C4D-8A5C-CB54CFBBC87E}" userId="李世杰" providerId="Non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51" dT="2022-04-27T09:43:37.88" personId="{96F840E3-CB95-4C4D-8A5C-CB54CFBBC87E}" id="{311C1EB7-670F-4F8D-BC57-7C92C420604F}">
    <text>和后面ORC系统重复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stats.gov.cn/tjsj/ndsj/2021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4"/>
  <sheetViews>
    <sheetView zoomScale="70" zoomScaleNormal="70" workbookViewId="0">
      <pane xSplit="2" ySplit="4" topLeftCell="C5" activePane="bottomRight" state="frozen"/>
      <selection pane="topRight"/>
      <selection pane="bottomLeft"/>
      <selection pane="bottomRight" activeCell="F10" sqref="F10"/>
    </sheetView>
  </sheetViews>
  <sheetFormatPr defaultColWidth="8.875" defaultRowHeight="18" customHeight="1"/>
  <cols>
    <col min="1" max="1" width="5.625" style="21" customWidth="1"/>
    <col min="2" max="2" width="9.75" style="22" customWidth="1"/>
    <col min="3" max="3" width="19.375" style="21" customWidth="1"/>
    <col min="4" max="4" width="30.75" style="21" customWidth="1"/>
    <col min="5" max="5" width="17.5" style="23" customWidth="1"/>
    <col min="6" max="6" width="21.375" style="21" customWidth="1"/>
    <col min="7" max="7" width="38.75" style="21" customWidth="1"/>
    <col min="8" max="8" width="20.75" style="27" customWidth="1"/>
    <col min="9" max="9" width="9.125" style="27" customWidth="1"/>
    <col min="10" max="10" width="11.25" style="27" customWidth="1"/>
    <col min="11" max="11" width="10.875" style="27" customWidth="1"/>
    <col min="12" max="12" width="11.75" style="28" customWidth="1"/>
    <col min="13" max="13" width="5.625" style="24" customWidth="1"/>
    <col min="14" max="14" width="37.5" style="17" customWidth="1"/>
    <col min="15" max="16383" width="8.875" style="17"/>
    <col min="16384" max="16384" width="8.875" style="18"/>
  </cols>
  <sheetData>
    <row r="1" spans="1:15" ht="14.25">
      <c r="A1" s="46" t="s">
        <v>0</v>
      </c>
      <c r="B1" s="47"/>
      <c r="C1" s="29" t="s">
        <v>1</v>
      </c>
      <c r="D1" s="49" t="s">
        <v>117</v>
      </c>
      <c r="E1" s="50"/>
      <c r="F1" s="50"/>
      <c r="G1" s="50"/>
      <c r="H1" s="50"/>
      <c r="I1" s="50"/>
      <c r="J1" s="50"/>
      <c r="K1" s="50"/>
      <c r="L1" s="50"/>
      <c r="M1" s="51"/>
      <c r="N1" s="45"/>
      <c r="O1" s="16"/>
    </row>
    <row r="2" spans="1:15" ht="14.25">
      <c r="A2" s="46" t="s">
        <v>2</v>
      </c>
      <c r="B2" s="47"/>
      <c r="C2" s="26">
        <f>SUM(I5:I12)</f>
        <v>53</v>
      </c>
      <c r="D2" s="46" t="s">
        <v>108</v>
      </c>
      <c r="E2" s="48"/>
      <c r="F2" s="48"/>
      <c r="G2" s="48"/>
      <c r="H2" s="48"/>
      <c r="I2" s="48"/>
      <c r="J2" s="48"/>
      <c r="K2" s="48"/>
      <c r="L2" s="48"/>
      <c r="M2" s="47"/>
      <c r="N2" s="16"/>
      <c r="O2" s="16"/>
    </row>
    <row r="3" spans="1:15" ht="14.25">
      <c r="A3" s="46" t="s">
        <v>4</v>
      </c>
      <c r="B3" s="47"/>
      <c r="C3" s="26">
        <f>SUM(L5:L12)</f>
        <v>53</v>
      </c>
      <c r="D3" s="46" t="s">
        <v>3</v>
      </c>
      <c r="E3" s="48"/>
      <c r="F3" s="48"/>
      <c r="G3" s="48"/>
      <c r="H3" s="48"/>
      <c r="I3" s="48"/>
      <c r="J3" s="48"/>
      <c r="K3" s="48"/>
      <c r="L3" s="48"/>
      <c r="M3" s="47"/>
      <c r="N3" s="16"/>
      <c r="O3" s="16"/>
    </row>
    <row r="4" spans="1:15" ht="28.5">
      <c r="A4" s="29" t="s">
        <v>5</v>
      </c>
      <c r="B4" s="29" t="s">
        <v>6</v>
      </c>
      <c r="C4" s="29" t="s">
        <v>7</v>
      </c>
      <c r="D4" s="30" t="s">
        <v>8</v>
      </c>
      <c r="E4" s="30" t="s">
        <v>9</v>
      </c>
      <c r="F4" s="30" t="s">
        <v>10</v>
      </c>
      <c r="G4" s="30" t="s">
        <v>11</v>
      </c>
      <c r="H4" s="29" t="s">
        <v>12</v>
      </c>
      <c r="I4" s="29" t="s">
        <v>13</v>
      </c>
      <c r="J4" s="29" t="s">
        <v>14</v>
      </c>
      <c r="K4" s="29" t="s">
        <v>15</v>
      </c>
      <c r="L4" s="29" t="s">
        <v>16</v>
      </c>
      <c r="M4" s="29" t="s">
        <v>17</v>
      </c>
      <c r="N4" s="16"/>
      <c r="O4" s="16"/>
    </row>
    <row r="5" spans="1:15" s="20" customFormat="1" ht="14.25">
      <c r="A5" s="29">
        <v>1</v>
      </c>
      <c r="B5" s="55" t="s">
        <v>110</v>
      </c>
      <c r="C5" s="57" t="s">
        <v>99</v>
      </c>
      <c r="D5" s="52" t="s">
        <v>114</v>
      </c>
      <c r="E5" s="57"/>
      <c r="F5" s="14"/>
      <c r="G5" s="14" t="s">
        <v>114</v>
      </c>
      <c r="H5" s="25" t="s">
        <v>18</v>
      </c>
      <c r="I5" s="15">
        <f t="shared" ref="I5:I12" si="0">IF("ILF"=H5,10,IF("EIF"=H5,7,IF(H5="EI",4,IF(H5="EO",5,IF(H5="EQ",4,0)))))</f>
        <v>10</v>
      </c>
      <c r="J5" s="29" t="s">
        <v>19</v>
      </c>
      <c r="K5" s="25" t="s">
        <v>20</v>
      </c>
      <c r="L5" s="25">
        <f t="shared" ref="L5:L12" si="1">IF(ISERROR(I5*IF(J5="低",1,IF(J5="中",2/3,IF(J5="高",1/3,"")))*IF(K5="新增",1,IF(K5="修改",0,IF(K5="删除",0,"")))),"",ROUNDUP(I5*IF(J5="低",1,IF(J5="中",2/3,IF(J5="高",1/3,"")))*IF(K5="新增",1,IF(K5="修改",0,IF(K5="删除",0,""))),2))</f>
        <v>10</v>
      </c>
      <c r="M5" s="25"/>
      <c r="N5" s="19"/>
      <c r="O5" s="19"/>
    </row>
    <row r="6" spans="1:15" s="20" customFormat="1" ht="14.25">
      <c r="A6" s="29">
        <v>2</v>
      </c>
      <c r="B6" s="56"/>
      <c r="C6" s="58"/>
      <c r="D6" s="53"/>
      <c r="E6" s="58"/>
      <c r="F6" s="14"/>
      <c r="G6" s="14" t="s">
        <v>100</v>
      </c>
      <c r="H6" s="25" t="s">
        <v>21</v>
      </c>
      <c r="I6" s="15">
        <f t="shared" si="0"/>
        <v>4</v>
      </c>
      <c r="J6" s="29" t="s">
        <v>19</v>
      </c>
      <c r="K6" s="25" t="s">
        <v>20</v>
      </c>
      <c r="L6" s="25">
        <f t="shared" si="1"/>
        <v>4</v>
      </c>
      <c r="M6" s="25"/>
      <c r="N6" s="19"/>
      <c r="O6" s="19"/>
    </row>
    <row r="7" spans="1:15" s="20" customFormat="1" ht="14.25">
      <c r="A7" s="31">
        <v>3</v>
      </c>
      <c r="B7" s="56"/>
      <c r="C7" s="58"/>
      <c r="D7" s="53"/>
      <c r="E7" s="58"/>
      <c r="F7" s="14"/>
      <c r="G7" s="14" t="s">
        <v>101</v>
      </c>
      <c r="H7" s="25" t="s">
        <v>21</v>
      </c>
      <c r="I7" s="15">
        <f t="shared" si="0"/>
        <v>4</v>
      </c>
      <c r="J7" s="29" t="s">
        <v>19</v>
      </c>
      <c r="K7" s="25" t="s">
        <v>20</v>
      </c>
      <c r="L7" s="25">
        <f t="shared" si="1"/>
        <v>4</v>
      </c>
      <c r="M7" s="25"/>
      <c r="N7" s="19"/>
      <c r="O7" s="19"/>
    </row>
    <row r="8" spans="1:15" s="20" customFormat="1" ht="14.25">
      <c r="A8" s="33">
        <v>4</v>
      </c>
      <c r="B8" s="56"/>
      <c r="C8" s="59"/>
      <c r="D8" s="54"/>
      <c r="E8" s="59"/>
      <c r="F8" s="14"/>
      <c r="G8" s="14" t="s">
        <v>102</v>
      </c>
      <c r="H8" s="25" t="s">
        <v>21</v>
      </c>
      <c r="I8" s="15">
        <f t="shared" si="0"/>
        <v>4</v>
      </c>
      <c r="J8" s="29" t="s">
        <v>19</v>
      </c>
      <c r="K8" s="25" t="s">
        <v>20</v>
      </c>
      <c r="L8" s="25">
        <f t="shared" si="1"/>
        <v>4</v>
      </c>
      <c r="M8" s="25"/>
      <c r="N8" s="19"/>
      <c r="O8" s="19"/>
    </row>
    <row r="9" spans="1:15" s="20" customFormat="1" ht="14.25">
      <c r="A9" s="33">
        <v>5</v>
      </c>
      <c r="B9" s="56"/>
      <c r="C9" s="57" t="s">
        <v>103</v>
      </c>
      <c r="D9" s="52" t="s">
        <v>111</v>
      </c>
      <c r="E9" s="32"/>
      <c r="F9" s="14"/>
      <c r="G9" s="14" t="s">
        <v>111</v>
      </c>
      <c r="H9" s="25" t="s">
        <v>22</v>
      </c>
      <c r="I9" s="15">
        <f t="shared" ref="I9" si="2">IF("ILF"=H9,10,IF("EIF"=H9,7,IF(H9="EI",4,IF(H9="EO",5,IF(H9="EQ",4,0)))))</f>
        <v>7</v>
      </c>
      <c r="J9" s="33" t="s">
        <v>19</v>
      </c>
      <c r="K9" s="25" t="s">
        <v>20</v>
      </c>
      <c r="L9" s="25">
        <f t="shared" ref="L9" si="3">IF(ISERROR(I9*IF(J9="低",1,IF(J9="中",2/3,IF(J9="高",1/3,"")))*IF(K9="新增",1,IF(K9="修改",0,IF(K9="删除",0,"")))),"",ROUNDUP(I9*IF(J9="低",1,IF(J9="中",2/3,IF(J9="高",1/3,"")))*IF(K9="新增",1,IF(K9="修改",0,IF(K9="删除",0,""))),2))</f>
        <v>7</v>
      </c>
      <c r="M9" s="25"/>
      <c r="N9" s="19"/>
      <c r="O9" s="19"/>
    </row>
    <row r="10" spans="1:15" s="20" customFormat="1" ht="14.25">
      <c r="A10" s="33">
        <v>6</v>
      </c>
      <c r="B10" s="56"/>
      <c r="C10" s="58"/>
      <c r="D10" s="53"/>
      <c r="E10" s="32"/>
      <c r="F10" s="14"/>
      <c r="G10" s="14" t="s">
        <v>113</v>
      </c>
      <c r="H10" s="25" t="s">
        <v>18</v>
      </c>
      <c r="I10" s="15">
        <f t="shared" ref="I10:I11" si="4">IF("ILF"=H10,10,IF("EIF"=H10,7,IF(H10="EI",4,IF(H10="EO",5,IF(H10="EQ",4,0)))))</f>
        <v>10</v>
      </c>
      <c r="J10" s="33" t="s">
        <v>19</v>
      </c>
      <c r="K10" s="25" t="s">
        <v>20</v>
      </c>
      <c r="L10" s="25">
        <f t="shared" ref="L10:L11" si="5">IF(ISERROR(I10*IF(J10="低",1,IF(J10="中",2/3,IF(J10="高",1/3,"")))*IF(K10="新增",1,IF(K10="修改",0,IF(K10="删除",0,"")))),"",ROUNDUP(I10*IF(J10="低",1,IF(J10="中",2/3,IF(J10="高",1/3,"")))*IF(K10="新增",1,IF(K10="修改",0,IF(K10="删除",0,""))),2))</f>
        <v>10</v>
      </c>
      <c r="M10" s="25"/>
      <c r="N10" s="19"/>
      <c r="O10" s="19"/>
    </row>
    <row r="11" spans="1:15" s="20" customFormat="1" ht="14.25">
      <c r="A11" s="33">
        <v>7</v>
      </c>
      <c r="B11" s="56"/>
      <c r="C11" s="58"/>
      <c r="D11" s="53"/>
      <c r="E11" s="32"/>
      <c r="F11" s="14"/>
      <c r="G11" s="14" t="s">
        <v>112</v>
      </c>
      <c r="H11" s="25" t="s">
        <v>18</v>
      </c>
      <c r="I11" s="15">
        <f t="shared" si="4"/>
        <v>10</v>
      </c>
      <c r="J11" s="33" t="s">
        <v>19</v>
      </c>
      <c r="K11" s="25" t="s">
        <v>20</v>
      </c>
      <c r="L11" s="25">
        <f t="shared" si="5"/>
        <v>10</v>
      </c>
      <c r="M11" s="25"/>
      <c r="N11" s="19"/>
      <c r="O11" s="19"/>
    </row>
    <row r="12" spans="1:15" s="20" customFormat="1" ht="14.25">
      <c r="A12" s="33">
        <v>8</v>
      </c>
      <c r="B12" s="56"/>
      <c r="C12" s="59"/>
      <c r="D12" s="54"/>
      <c r="E12" s="14"/>
      <c r="F12" s="14"/>
      <c r="G12" s="14" t="s">
        <v>115</v>
      </c>
      <c r="H12" s="25" t="s">
        <v>21</v>
      </c>
      <c r="I12" s="15">
        <f t="shared" si="0"/>
        <v>4</v>
      </c>
      <c r="J12" s="29" t="s">
        <v>19</v>
      </c>
      <c r="K12" s="25" t="s">
        <v>20</v>
      </c>
      <c r="L12" s="25">
        <f t="shared" si="1"/>
        <v>4</v>
      </c>
      <c r="M12" s="25"/>
      <c r="N12" s="19"/>
      <c r="O12" s="19"/>
    </row>
    <row r="13" spans="1:15" ht="18" customHeight="1">
      <c r="A13" s="29" t="s">
        <v>104</v>
      </c>
      <c r="B13" s="29"/>
      <c r="C13" s="29"/>
      <c r="D13" s="30"/>
      <c r="E13" s="30"/>
      <c r="F13" s="30"/>
      <c r="G13" s="30"/>
      <c r="H13" s="29"/>
      <c r="I13" s="26">
        <f>SUM(I5:I12)</f>
        <v>53</v>
      </c>
      <c r="J13" s="46"/>
      <c r="K13" s="47"/>
      <c r="L13" s="29">
        <f>ROUNDUP(SUM(L5:L12),0)</f>
        <v>53</v>
      </c>
      <c r="M13" s="29"/>
    </row>
    <row r="14" spans="1:15" ht="107.1" customHeight="1">
      <c r="A14" s="29" t="s">
        <v>23</v>
      </c>
      <c r="B14" s="46" t="s">
        <v>109</v>
      </c>
      <c r="C14" s="48"/>
      <c r="D14" s="48"/>
      <c r="E14" s="48"/>
      <c r="F14" s="48"/>
      <c r="G14" s="48"/>
      <c r="H14" s="47"/>
      <c r="I14" s="29" t="s">
        <v>24</v>
      </c>
      <c r="J14" s="29" t="s">
        <v>25</v>
      </c>
      <c r="K14" s="29" t="s">
        <v>105</v>
      </c>
      <c r="L14" s="29" t="s">
        <v>26</v>
      </c>
      <c r="M14" s="29"/>
    </row>
  </sheetData>
  <mergeCells count="14">
    <mergeCell ref="J13:K13"/>
    <mergeCell ref="B14:H14"/>
    <mergeCell ref="A1:B1"/>
    <mergeCell ref="D1:M1"/>
    <mergeCell ref="A2:B2"/>
    <mergeCell ref="D2:M2"/>
    <mergeCell ref="A3:B3"/>
    <mergeCell ref="D3:M3"/>
    <mergeCell ref="D5:D8"/>
    <mergeCell ref="B5:B12"/>
    <mergeCell ref="C5:C8"/>
    <mergeCell ref="E5:E8"/>
    <mergeCell ref="C9:C12"/>
    <mergeCell ref="D9:D12"/>
  </mergeCells>
  <phoneticPr fontId="16" type="noConversion"/>
  <dataValidations count="3">
    <dataValidation type="list" allowBlank="1" showInputMessage="1" showErrorMessage="1" sqref="H5:H12">
      <formula1>"ILF,EIF,EI,EO,EQ"</formula1>
    </dataValidation>
    <dataValidation type="list" allowBlank="1" showInputMessage="1" showErrorMessage="1" sqref="J5:J12">
      <formula1>"低,中,高"</formula1>
    </dataValidation>
    <dataValidation type="list" allowBlank="1" showInputMessage="1" showErrorMessage="1" sqref="K5:K12">
      <formula1>"新增,修改,删除"</formula1>
    </dataValidation>
  </dataValidations>
  <pageMargins left="0.75" right="0.75" top="1" bottom="1" header="0.5" footer="0.5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4"/>
  <sheetViews>
    <sheetView topLeftCell="C1" zoomScale="80" zoomScaleNormal="80" workbookViewId="0">
      <selection activeCell="J20" sqref="J20"/>
    </sheetView>
  </sheetViews>
  <sheetFormatPr defaultColWidth="8.875" defaultRowHeight="13.5"/>
  <cols>
    <col min="1" max="1" width="5.75" style="4" customWidth="1"/>
    <col min="2" max="2" width="5.875" style="4" customWidth="1"/>
    <col min="3" max="3" width="20.75" style="4" customWidth="1"/>
    <col min="4" max="4" width="5.875" style="4" customWidth="1"/>
    <col min="5" max="5" width="14.125" style="4" customWidth="1"/>
    <col min="6" max="6" width="28.125" style="4" customWidth="1"/>
    <col min="7" max="7" width="11" style="4" customWidth="1"/>
    <col min="8" max="8" width="25.125" style="4" customWidth="1"/>
    <col min="9" max="9" width="47.125" style="4" customWidth="1"/>
    <col min="10" max="10" width="50.625" style="4" customWidth="1"/>
    <col min="11" max="16384" width="8.875" style="4"/>
  </cols>
  <sheetData>
    <row r="1" spans="1:10" s="1" customFormat="1">
      <c r="A1" s="5"/>
      <c r="B1" s="39"/>
      <c r="C1" s="60" t="s">
        <v>116</v>
      </c>
      <c r="D1" s="61"/>
      <c r="E1" s="61"/>
      <c r="F1" s="61"/>
      <c r="G1" s="61"/>
      <c r="H1" s="61"/>
      <c r="I1" s="62"/>
      <c r="J1" s="40"/>
    </row>
    <row r="2" spans="1:10" s="1" customFormat="1">
      <c r="A2" s="5"/>
      <c r="B2" s="41" t="s">
        <v>27</v>
      </c>
      <c r="C2" s="41" t="s">
        <v>28</v>
      </c>
      <c r="D2" s="41" t="s">
        <v>29</v>
      </c>
      <c r="E2" s="41" t="s">
        <v>30</v>
      </c>
      <c r="F2" s="63" t="s">
        <v>31</v>
      </c>
      <c r="G2" s="63"/>
      <c r="H2" s="41" t="s">
        <v>32</v>
      </c>
      <c r="I2" s="41" t="s">
        <v>23</v>
      </c>
      <c r="J2" s="41" t="s">
        <v>33</v>
      </c>
    </row>
    <row r="3" spans="1:10" ht="27">
      <c r="A3" s="38"/>
      <c r="B3" s="36">
        <v>1</v>
      </c>
      <c r="C3" s="36" t="s">
        <v>34</v>
      </c>
      <c r="D3" s="36" t="s">
        <v>16</v>
      </c>
      <c r="E3" s="36" t="s">
        <v>35</v>
      </c>
      <c r="F3" s="36" t="s">
        <v>34</v>
      </c>
      <c r="G3" s="36">
        <v>23335.889999999301</v>
      </c>
      <c r="H3" s="36"/>
      <c r="I3" s="35" t="s">
        <v>36</v>
      </c>
      <c r="J3" s="35"/>
    </row>
    <row r="4" spans="1:10">
      <c r="A4" s="38"/>
      <c r="B4" s="36">
        <v>2</v>
      </c>
      <c r="C4" s="42" t="s">
        <v>119</v>
      </c>
      <c r="D4" s="36" t="s">
        <v>38</v>
      </c>
      <c r="E4" s="36"/>
      <c r="F4" s="36" t="s">
        <v>37</v>
      </c>
      <c r="G4" s="36">
        <f>IF(H4="估算早期",1.39,IF(H4="估算中期",1.22,IF(H4="估算晚期",1,"")))</f>
        <v>1.39</v>
      </c>
      <c r="H4" s="36" t="s">
        <v>39</v>
      </c>
      <c r="I4" s="36" t="s">
        <v>40</v>
      </c>
      <c r="J4" s="42" t="s">
        <v>126</v>
      </c>
    </row>
    <row r="5" spans="1:10">
      <c r="A5" s="38"/>
      <c r="B5" s="36">
        <v>3</v>
      </c>
      <c r="C5" s="36" t="s">
        <v>41</v>
      </c>
      <c r="D5" s="36" t="s">
        <v>42</v>
      </c>
      <c r="E5" s="36" t="s">
        <v>43</v>
      </c>
      <c r="F5" s="36" t="s">
        <v>41</v>
      </c>
      <c r="G5" s="36">
        <f>G3*G4</f>
        <v>32436.887099999025</v>
      </c>
      <c r="H5" s="36"/>
      <c r="I5" s="36" t="s">
        <v>44</v>
      </c>
      <c r="J5" s="36"/>
    </row>
    <row r="6" spans="1:10">
      <c r="A6" s="64"/>
      <c r="B6" s="65">
        <v>4</v>
      </c>
      <c r="C6" s="66" t="s">
        <v>118</v>
      </c>
      <c r="D6" s="65" t="s">
        <v>45</v>
      </c>
      <c r="E6" s="65" t="s">
        <v>46</v>
      </c>
      <c r="F6" s="36" t="s">
        <v>47</v>
      </c>
      <c r="G6" s="36">
        <v>5.75</v>
      </c>
      <c r="H6" s="36"/>
      <c r="I6" s="36"/>
      <c r="J6" s="36"/>
    </row>
    <row r="7" spans="1:10">
      <c r="A7" s="64"/>
      <c r="B7" s="65"/>
      <c r="C7" s="65"/>
      <c r="D7" s="65"/>
      <c r="E7" s="65"/>
      <c r="F7" s="36" t="s">
        <v>48</v>
      </c>
      <c r="G7" s="43">
        <v>7.04</v>
      </c>
      <c r="H7" s="36"/>
      <c r="I7" s="37" t="s">
        <v>121</v>
      </c>
      <c r="J7" s="42" t="s">
        <v>122</v>
      </c>
    </row>
    <row r="8" spans="1:10">
      <c r="A8" s="64"/>
      <c r="B8" s="65"/>
      <c r="C8" s="65"/>
      <c r="D8" s="65"/>
      <c r="E8" s="65"/>
      <c r="F8" s="36" t="s">
        <v>49</v>
      </c>
      <c r="G8" s="36">
        <v>8.6300000000000008</v>
      </c>
      <c r="H8" s="36"/>
      <c r="I8" s="36"/>
      <c r="J8" s="36"/>
    </row>
    <row r="9" spans="1:10">
      <c r="A9" s="64"/>
      <c r="B9" s="65">
        <v>8</v>
      </c>
      <c r="C9" s="65" t="s">
        <v>50</v>
      </c>
      <c r="D9" s="65" t="s">
        <v>51</v>
      </c>
      <c r="E9" s="70" t="s">
        <v>52</v>
      </c>
      <c r="F9" s="35" t="s">
        <v>53</v>
      </c>
      <c r="G9" s="6">
        <f>G6*$G$5/8</f>
        <v>23314.012603124298</v>
      </c>
      <c r="H9" s="6"/>
      <c r="I9" s="71" t="s">
        <v>54</v>
      </c>
      <c r="J9" s="67" t="s">
        <v>122</v>
      </c>
    </row>
    <row r="10" spans="1:10">
      <c r="A10" s="64"/>
      <c r="B10" s="65"/>
      <c r="C10" s="65"/>
      <c r="D10" s="65"/>
      <c r="E10" s="70"/>
      <c r="F10" s="35" t="s">
        <v>55</v>
      </c>
      <c r="G10" s="6">
        <f>G7*$G$5/8</f>
        <v>28544.460647999142</v>
      </c>
      <c r="H10" s="6"/>
      <c r="I10" s="68"/>
      <c r="J10" s="68"/>
    </row>
    <row r="11" spans="1:10">
      <c r="A11" s="64"/>
      <c r="B11" s="65"/>
      <c r="C11" s="65"/>
      <c r="D11" s="65"/>
      <c r="E11" s="70"/>
      <c r="F11" s="35" t="s">
        <v>56</v>
      </c>
      <c r="G11" s="6">
        <f>G8*$G$5/8</f>
        <v>34991.291959123948</v>
      </c>
      <c r="H11" s="6"/>
      <c r="I11" s="69"/>
      <c r="J11" s="69"/>
    </row>
    <row r="12" spans="1:10">
      <c r="A12" s="64"/>
      <c r="B12" s="36">
        <v>5</v>
      </c>
      <c r="C12" s="65" t="s">
        <v>57</v>
      </c>
      <c r="D12" s="36" t="s">
        <v>58</v>
      </c>
      <c r="E12" s="36"/>
      <c r="F12" s="36" t="s">
        <v>59</v>
      </c>
      <c r="G12" s="36">
        <f>IF(H12="业务处理应用",1,IF(H12="科技、应用集成",1.2,IF(H12="多媒体应用",1.3,IF(H12="智能信息应用",1.7,IF(H12="系统应用",1.7,IF(H12="通信控制应用",1.9,IF(H12="流程控制应用",2,"")))))))</f>
        <v>1</v>
      </c>
      <c r="H12" s="36" t="s">
        <v>60</v>
      </c>
      <c r="I12" s="36" t="s">
        <v>61</v>
      </c>
      <c r="J12" s="36"/>
    </row>
    <row r="13" spans="1:10">
      <c r="A13" s="64"/>
      <c r="B13" s="36">
        <v>6</v>
      </c>
      <c r="C13" s="65"/>
      <c r="D13" s="36" t="s">
        <v>62</v>
      </c>
      <c r="E13" s="36"/>
      <c r="F13" s="36" t="s">
        <v>63</v>
      </c>
      <c r="G13" s="36">
        <v>1</v>
      </c>
      <c r="H13" s="36" t="s">
        <v>64</v>
      </c>
      <c r="I13" s="36" t="s">
        <v>64</v>
      </c>
      <c r="J13" s="36"/>
    </row>
    <row r="14" spans="1:10">
      <c r="A14" s="64"/>
      <c r="B14" s="36">
        <v>7</v>
      </c>
      <c r="C14" s="65"/>
      <c r="D14" s="36"/>
      <c r="E14" s="36"/>
      <c r="F14" s="36" t="s">
        <v>65</v>
      </c>
      <c r="G14" s="36">
        <v>1</v>
      </c>
      <c r="H14" s="36" t="s">
        <v>64</v>
      </c>
      <c r="I14" s="36" t="s">
        <v>64</v>
      </c>
      <c r="J14" s="36"/>
    </row>
    <row r="15" spans="1:10">
      <c r="A15" s="64"/>
      <c r="B15" s="36">
        <v>8</v>
      </c>
      <c r="C15" s="65" t="s">
        <v>66</v>
      </c>
      <c r="D15" s="65" t="s">
        <v>67</v>
      </c>
      <c r="E15" s="36"/>
      <c r="F15" s="36" t="s">
        <v>68</v>
      </c>
      <c r="G15" s="36">
        <v>1</v>
      </c>
      <c r="H15" s="36" t="s">
        <v>64</v>
      </c>
      <c r="I15" s="36" t="s">
        <v>64</v>
      </c>
      <c r="J15" s="36"/>
    </row>
    <row r="16" spans="1:10">
      <c r="A16" s="64"/>
      <c r="B16" s="36">
        <v>9</v>
      </c>
      <c r="C16" s="65"/>
      <c r="D16" s="65"/>
      <c r="E16" s="36"/>
      <c r="F16" s="36" t="s">
        <v>69</v>
      </c>
      <c r="G16" s="36">
        <v>0.8</v>
      </c>
      <c r="H16" s="36" t="s">
        <v>64</v>
      </c>
      <c r="I16" s="36" t="s">
        <v>64</v>
      </c>
      <c r="J16" s="36"/>
    </row>
    <row r="17" spans="1:10">
      <c r="A17" s="64"/>
      <c r="B17" s="65">
        <v>10</v>
      </c>
      <c r="C17" s="65" t="s">
        <v>70</v>
      </c>
      <c r="D17" s="65" t="s">
        <v>71</v>
      </c>
      <c r="E17" s="70" t="s">
        <v>52</v>
      </c>
      <c r="F17" s="35" t="s">
        <v>53</v>
      </c>
      <c r="G17" s="6">
        <f>G9*$G$12*$G$13*$G$14*$G$15*$G$16</f>
        <v>18651.210082499438</v>
      </c>
      <c r="H17" s="6"/>
      <c r="I17" s="67" t="s">
        <v>125</v>
      </c>
      <c r="J17" s="67" t="s">
        <v>122</v>
      </c>
    </row>
    <row r="18" spans="1:10">
      <c r="A18" s="64"/>
      <c r="B18" s="65"/>
      <c r="C18" s="65"/>
      <c r="D18" s="65"/>
      <c r="E18" s="70"/>
      <c r="F18" s="35" t="s">
        <v>55</v>
      </c>
      <c r="G18" s="6">
        <f>G10*$G$12*$G$13*$G$14*$G$15*$G$16</f>
        <v>22835.568518399316</v>
      </c>
      <c r="H18" s="6"/>
      <c r="I18" s="68"/>
      <c r="J18" s="68"/>
    </row>
    <row r="19" spans="1:10">
      <c r="A19" s="64"/>
      <c r="B19" s="65"/>
      <c r="C19" s="65"/>
      <c r="D19" s="65"/>
      <c r="E19" s="70"/>
      <c r="F19" s="35" t="s">
        <v>56</v>
      </c>
      <c r="G19" s="6">
        <f>G11*$G$12*$G$13*$G$14*$G$15*$G$16</f>
        <v>27993.03356729916</v>
      </c>
      <c r="H19" s="6"/>
      <c r="I19" s="69"/>
      <c r="J19" s="69"/>
    </row>
    <row r="20" spans="1:10" s="2" customFormat="1" ht="27">
      <c r="A20" s="38"/>
      <c r="B20" s="13" t="s">
        <v>72</v>
      </c>
      <c r="C20" s="42" t="s">
        <v>128</v>
      </c>
      <c r="D20" s="36"/>
      <c r="E20" s="35" t="s">
        <v>73</v>
      </c>
      <c r="F20" s="35"/>
      <c r="G20" s="76">
        <v>142827</v>
      </c>
      <c r="H20" s="6"/>
      <c r="I20" s="44" t="s">
        <v>130</v>
      </c>
      <c r="J20" s="44" t="s">
        <v>131</v>
      </c>
    </row>
    <row r="21" spans="1:10" s="2" customFormat="1" ht="27">
      <c r="A21" s="38"/>
      <c r="B21" s="13" t="s">
        <v>74</v>
      </c>
      <c r="C21" s="36" t="s">
        <v>75</v>
      </c>
      <c r="D21" s="36"/>
      <c r="E21" s="35"/>
      <c r="F21" s="42" t="s">
        <v>120</v>
      </c>
      <c r="G21" s="7">
        <v>2.2650000000000001</v>
      </c>
      <c r="H21" s="6" t="s">
        <v>76</v>
      </c>
      <c r="I21" s="44" t="s">
        <v>127</v>
      </c>
      <c r="J21" s="34"/>
    </row>
    <row r="22" spans="1:10" s="3" customFormat="1" ht="40.5">
      <c r="A22" s="8"/>
      <c r="B22" s="9">
        <v>11</v>
      </c>
      <c r="C22" s="9" t="s">
        <v>77</v>
      </c>
      <c r="D22" s="9" t="s">
        <v>78</v>
      </c>
      <c r="E22" s="9" t="s">
        <v>79</v>
      </c>
      <c r="F22" s="9"/>
      <c r="G22" s="10">
        <f>ROUND(G20*G21/10000/12,2)</f>
        <v>2.7</v>
      </c>
      <c r="H22" s="9"/>
      <c r="I22" s="12" t="s">
        <v>106</v>
      </c>
      <c r="J22" s="9" t="s">
        <v>107</v>
      </c>
    </row>
    <row r="23" spans="1:10">
      <c r="A23" s="64" t="s">
        <v>80</v>
      </c>
      <c r="B23" s="65">
        <v>12</v>
      </c>
      <c r="C23" s="66" t="s">
        <v>124</v>
      </c>
      <c r="D23" s="72" t="s">
        <v>81</v>
      </c>
      <c r="E23" s="70" t="s">
        <v>82</v>
      </c>
      <c r="F23" s="35" t="s">
        <v>53</v>
      </c>
      <c r="G23" s="6">
        <f>ROUNDUP(G17*$G$22/21.75,2)</f>
        <v>2315.3300000000004</v>
      </c>
      <c r="H23" s="6"/>
      <c r="I23" s="67" t="s">
        <v>123</v>
      </c>
      <c r="J23" s="67" t="s">
        <v>129</v>
      </c>
    </row>
    <row r="24" spans="1:10">
      <c r="A24" s="64"/>
      <c r="B24" s="65"/>
      <c r="C24" s="65"/>
      <c r="D24" s="72"/>
      <c r="E24" s="70"/>
      <c r="F24" s="35" t="s">
        <v>55</v>
      </c>
      <c r="G24" s="6">
        <f>ROUNDUP(G18*$G$22/21.75,2)</f>
        <v>2834.7700000000004</v>
      </c>
      <c r="H24" s="6"/>
      <c r="I24" s="68"/>
      <c r="J24" s="68"/>
    </row>
    <row r="25" spans="1:10">
      <c r="A25" s="64"/>
      <c r="B25" s="65"/>
      <c r="C25" s="65"/>
      <c r="D25" s="72"/>
      <c r="E25" s="70"/>
      <c r="F25" s="35" t="s">
        <v>56</v>
      </c>
      <c r="G25" s="6">
        <f>ROUNDUP(G19*$G$22/21.75,2)</f>
        <v>3475</v>
      </c>
      <c r="H25" s="6"/>
      <c r="I25" s="69"/>
      <c r="J25" s="69"/>
    </row>
    <row r="26" spans="1:10">
      <c r="A26" s="38"/>
      <c r="B26" s="36">
        <v>13</v>
      </c>
      <c r="C26" s="36" t="s">
        <v>83</v>
      </c>
      <c r="D26" s="36" t="s">
        <v>84</v>
      </c>
      <c r="E26" s="35" t="s">
        <v>82</v>
      </c>
      <c r="F26" s="35"/>
      <c r="G26" s="6"/>
      <c r="H26" s="6"/>
      <c r="I26" s="34"/>
      <c r="J26" s="34"/>
    </row>
    <row r="27" spans="1:10">
      <c r="A27" s="38"/>
      <c r="B27" s="36">
        <v>14</v>
      </c>
      <c r="C27" s="36" t="s">
        <v>85</v>
      </c>
      <c r="D27" s="36"/>
      <c r="E27" s="35"/>
      <c r="F27" s="35"/>
      <c r="G27" s="6">
        <f>SUM(G25:G26)</f>
        <v>3475</v>
      </c>
      <c r="H27" s="6"/>
      <c r="I27" s="34" t="s">
        <v>86</v>
      </c>
      <c r="J27" s="34"/>
    </row>
    <row r="28" spans="1:10">
      <c r="A28" s="38"/>
      <c r="B28" s="36"/>
      <c r="C28" s="36"/>
      <c r="D28" s="36"/>
      <c r="E28" s="35"/>
      <c r="F28" s="35"/>
      <c r="G28" s="6"/>
      <c r="H28" s="6"/>
      <c r="I28" s="34"/>
      <c r="J28" s="34"/>
    </row>
    <row r="29" spans="1:10" ht="27">
      <c r="A29" s="38"/>
      <c r="B29" s="36">
        <v>15</v>
      </c>
      <c r="C29" s="36" t="s">
        <v>87</v>
      </c>
      <c r="D29" s="36" t="s">
        <v>88</v>
      </c>
      <c r="E29" s="35" t="s">
        <v>89</v>
      </c>
      <c r="F29" s="35"/>
      <c r="G29" s="6">
        <f>8*21.75</f>
        <v>174</v>
      </c>
      <c r="H29" s="6"/>
      <c r="I29" s="34"/>
      <c r="J29" s="34" t="s">
        <v>90</v>
      </c>
    </row>
    <row r="30" spans="1:10">
      <c r="A30" s="38"/>
      <c r="B30" s="36">
        <v>16</v>
      </c>
      <c r="C30" s="36" t="s">
        <v>91</v>
      </c>
      <c r="D30" s="36" t="s">
        <v>92</v>
      </c>
      <c r="E30" s="35" t="s">
        <v>93</v>
      </c>
      <c r="F30" s="35"/>
      <c r="G30" s="6">
        <f>G22*10000</f>
        <v>27000</v>
      </c>
      <c r="H30" s="6"/>
      <c r="I30" s="34" t="s">
        <v>94</v>
      </c>
      <c r="J30" s="34"/>
    </row>
    <row r="31" spans="1:10">
      <c r="A31" s="38"/>
      <c r="B31" s="36">
        <v>17</v>
      </c>
      <c r="C31" s="36" t="s">
        <v>83</v>
      </c>
      <c r="D31" s="36" t="s">
        <v>84</v>
      </c>
      <c r="E31" s="35" t="s">
        <v>73</v>
      </c>
      <c r="F31" s="35"/>
      <c r="G31" s="11"/>
      <c r="H31" s="6"/>
      <c r="I31" s="34"/>
      <c r="J31" s="34"/>
    </row>
    <row r="32" spans="1:10" s="2" customFormat="1">
      <c r="A32" s="64" t="s">
        <v>95</v>
      </c>
      <c r="B32" s="36">
        <v>18</v>
      </c>
      <c r="C32" s="65" t="s">
        <v>96</v>
      </c>
      <c r="D32" s="72" t="s">
        <v>97</v>
      </c>
      <c r="E32" s="65" t="s">
        <v>73</v>
      </c>
      <c r="F32" s="35" t="s">
        <v>53</v>
      </c>
      <c r="G32" s="36">
        <f>ROUND(G17*8/$G$29*$G$30+$G$31,2)</f>
        <v>23153226.309999999</v>
      </c>
      <c r="H32" s="36"/>
      <c r="I32" s="73" t="s">
        <v>98</v>
      </c>
      <c r="J32" s="36"/>
    </row>
    <row r="33" spans="1:10" s="2" customFormat="1">
      <c r="A33" s="64"/>
      <c r="B33" s="36">
        <v>19</v>
      </c>
      <c r="C33" s="65"/>
      <c r="D33" s="72"/>
      <c r="E33" s="65"/>
      <c r="F33" s="35" t="s">
        <v>55</v>
      </c>
      <c r="G33" s="36">
        <f>ROUND(G18*8/$G$29*$G$30+$G$31,2)</f>
        <v>28347602.300000001</v>
      </c>
      <c r="H33" s="36"/>
      <c r="I33" s="74"/>
      <c r="J33" s="36"/>
    </row>
    <row r="34" spans="1:10" s="2" customFormat="1">
      <c r="A34" s="64"/>
      <c r="B34" s="36">
        <v>20</v>
      </c>
      <c r="C34" s="65"/>
      <c r="D34" s="72"/>
      <c r="E34" s="65"/>
      <c r="F34" s="35" t="s">
        <v>56</v>
      </c>
      <c r="G34" s="36">
        <f>ROUND(G19*8/$G$29*$G$30+$G$31,2)</f>
        <v>34749972.700000003</v>
      </c>
      <c r="H34" s="36"/>
      <c r="I34" s="75"/>
      <c r="J34" s="36"/>
    </row>
  </sheetData>
  <mergeCells count="38">
    <mergeCell ref="A32:A34"/>
    <mergeCell ref="C32:C34"/>
    <mergeCell ref="D32:D34"/>
    <mergeCell ref="E32:E34"/>
    <mergeCell ref="I32:I34"/>
    <mergeCell ref="J17:J19"/>
    <mergeCell ref="A23:A25"/>
    <mergeCell ref="B23:B25"/>
    <mergeCell ref="C23:C25"/>
    <mergeCell ref="D23:D25"/>
    <mergeCell ref="E23:E25"/>
    <mergeCell ref="I23:I25"/>
    <mergeCell ref="J23:J25"/>
    <mergeCell ref="A17:A19"/>
    <mergeCell ref="B17:B19"/>
    <mergeCell ref="C17:C19"/>
    <mergeCell ref="D17:D19"/>
    <mergeCell ref="E17:E19"/>
    <mergeCell ref="I17:I19"/>
    <mergeCell ref="J9:J11"/>
    <mergeCell ref="A12:A14"/>
    <mergeCell ref="C12:C14"/>
    <mergeCell ref="A15:A16"/>
    <mergeCell ref="C15:C16"/>
    <mergeCell ref="D15:D16"/>
    <mergeCell ref="A9:A11"/>
    <mergeCell ref="B9:B11"/>
    <mergeCell ref="C9:C11"/>
    <mergeCell ref="D9:D11"/>
    <mergeCell ref="E9:E11"/>
    <mergeCell ref="I9:I11"/>
    <mergeCell ref="C1:I1"/>
    <mergeCell ref="F2:G2"/>
    <mergeCell ref="A6:A8"/>
    <mergeCell ref="B6:B8"/>
    <mergeCell ref="C6:C8"/>
    <mergeCell ref="D6:D8"/>
    <mergeCell ref="E6:E8"/>
  </mergeCells>
  <phoneticPr fontId="9" type="noConversion"/>
  <dataValidations count="3">
    <dataValidation type="list" allowBlank="1" showInputMessage="1" showErrorMessage="1" sqref="H22">
      <formula1>"为本行业开发过类似的项目,为其他行业开发过类似的项目，或为本行业开发过不同但相关的项目,没有同类项目的背景,无特别限定"</formula1>
    </dataValidation>
    <dataValidation type="list" allowBlank="1" showInputMessage="1" showErrorMessage="1" sqref="H12">
      <formula1>"业务处理应用,科技、应用集成,多媒体应用,智能信息应用,系统应用,通信控制应用,流程控制应用"</formula1>
    </dataValidation>
    <dataValidation type="list" allowBlank="1" showInputMessage="1" showErrorMessage="1" sqref="H4">
      <formula1>"估算早期,估算中期,估算晚期"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sqref="A1:H1"/>
    </sheetView>
  </sheetViews>
  <sheetFormatPr defaultRowHeight="13.5"/>
  <sheetData>
    <row r="1" spans="1:8">
      <c r="A1" s="78" t="s">
        <v>132</v>
      </c>
      <c r="B1" s="77"/>
      <c r="C1" s="77"/>
      <c r="D1" s="77"/>
      <c r="E1" s="77"/>
      <c r="F1" s="77"/>
      <c r="G1" s="77"/>
      <c r="H1" s="77"/>
    </row>
  </sheetData>
  <mergeCells count="1">
    <mergeCell ref="A1:H1"/>
  </mergeCells>
  <phoneticPr fontId="9" type="noConversion"/>
  <hyperlinks>
    <hyperlink ref="A1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01-功能点明细</vt:lpstr>
      <vt:lpstr>02-开发费（CSBMK-2021）</vt:lpstr>
      <vt:lpstr>03-2021年西藏年鉴行业平均工资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ccm</dc:creator>
  <cp:lastModifiedBy>WangYong</cp:lastModifiedBy>
  <dcterms:created xsi:type="dcterms:W3CDTF">2021-01-26T02:10:00Z</dcterms:created>
  <dcterms:modified xsi:type="dcterms:W3CDTF">2022-05-24T03:05:43Z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