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D:\98产品方案\08功能点测算\海南\"/>
    </mc:Choice>
  </mc:AlternateContent>
  <bookViews>
    <workbookView xWindow="0" yWindow="0" windowWidth="19200" windowHeight="7150" tabRatio="959"/>
  </bookViews>
  <sheets>
    <sheet name="汇总" sheetId="1" r:id="rId1"/>
    <sheet name="硬件设备购置费" sheetId="2" r:id="rId2"/>
    <sheet name="定制软件开发功能点明细表(预估）" sheetId="11" r:id="rId3"/>
    <sheet name="定制软件开发费（功能点法）" sheetId="7" r:id="rId4"/>
    <sheet name="定制软件开发功能点明细表(估算）" sheetId="13" r:id="rId5"/>
    <sheet name="定制软件开发费（功能点法） (估算）" sheetId="14" r:id="rId6"/>
    <sheet name="定制软件开发费（专家经验法）" sheetId="3" r:id="rId7"/>
    <sheet name="系统集成实施费与其他费" sheetId="4" r:id="rId8"/>
    <sheet name="项目建设其他费" sheetId="10" r:id="rId9"/>
  </sheets>
  <calcPr calcId="162913"/>
  <extLs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H4" i="13" l="1"/>
  <c r="H5" i="13"/>
  <c r="H6" i="13"/>
  <c r="H7" i="13"/>
  <c r="H8" i="13"/>
  <c r="H9" i="13"/>
  <c r="H10" i="13"/>
  <c r="H11" i="13"/>
  <c r="H12" i="13"/>
  <c r="H13" i="13"/>
  <c r="H14" i="13"/>
  <c r="H15" i="13"/>
  <c r="H16" i="13"/>
  <c r="H17" i="13"/>
  <c r="H18" i="13"/>
  <c r="H19" i="13"/>
  <c r="H3" i="13"/>
  <c r="F3" i="13"/>
  <c r="F4" i="13"/>
  <c r="F5" i="13"/>
  <c r="F6" i="13"/>
  <c r="F7" i="13"/>
  <c r="F8" i="13"/>
  <c r="F9" i="13"/>
  <c r="F10" i="13"/>
  <c r="F11" i="13"/>
  <c r="F12" i="13"/>
  <c r="F13" i="13"/>
  <c r="F14" i="13"/>
  <c r="F15" i="13"/>
  <c r="F16" i="13"/>
  <c r="F17" i="13"/>
  <c r="F18" i="13"/>
  <c r="F19" i="13"/>
  <c r="F4" i="11"/>
  <c r="F5" i="11"/>
  <c r="F6" i="11"/>
  <c r="F7" i="11"/>
  <c r="F8" i="11"/>
  <c r="F9" i="11"/>
  <c r="F10" i="11"/>
  <c r="F11" i="11"/>
  <c r="F12" i="11"/>
  <c r="F13" i="11"/>
  <c r="F14" i="11"/>
  <c r="F15" i="11"/>
  <c r="F16" i="11"/>
  <c r="F17" i="11"/>
  <c r="F18" i="11"/>
  <c r="F19" i="11"/>
  <c r="F3" i="11"/>
  <c r="C14" i="1" l="1"/>
  <c r="C11" i="1"/>
  <c r="H4" i="11"/>
  <c r="H5" i="11"/>
  <c r="H6" i="11"/>
  <c r="H7" i="11"/>
  <c r="H8" i="11"/>
  <c r="H9" i="11"/>
  <c r="H10" i="11"/>
  <c r="H11" i="11"/>
  <c r="H12" i="11"/>
  <c r="H13" i="11"/>
  <c r="H14" i="11"/>
  <c r="H15" i="11"/>
  <c r="H16" i="11"/>
  <c r="H19" i="11"/>
  <c r="H3" i="11"/>
  <c r="H17" i="11"/>
  <c r="H18" i="11"/>
  <c r="F20" i="13" l="1"/>
  <c r="C2" i="14" s="1"/>
  <c r="C5" i="14" s="1"/>
  <c r="H20" i="13"/>
  <c r="C3" i="14" s="1"/>
  <c r="C6" i="14" s="1"/>
  <c r="D11" i="14" s="1"/>
  <c r="D16" i="14" s="1"/>
  <c r="D24" i="14" s="1"/>
  <c r="D26" i="14" s="1"/>
  <c r="H20" i="11"/>
  <c r="C3" i="7" s="1"/>
  <c r="D11" i="10"/>
  <c r="C6" i="1" s="1"/>
  <c r="G13" i="4"/>
  <c r="G12" i="4"/>
  <c r="H25" i="3"/>
  <c r="H23" i="3"/>
  <c r="H22" i="3"/>
  <c r="H21" i="3"/>
  <c r="H19" i="3"/>
  <c r="H17" i="3"/>
  <c r="H16" i="3"/>
  <c r="H15" i="3"/>
  <c r="H13" i="3"/>
  <c r="H11" i="3"/>
  <c r="H10" i="3"/>
  <c r="H9" i="3"/>
  <c r="H7" i="3"/>
  <c r="H5" i="3"/>
  <c r="H4" i="3"/>
  <c r="H3" i="3"/>
  <c r="F20" i="11"/>
  <c r="C2" i="7" s="1"/>
  <c r="F17" i="2"/>
  <c r="G12" i="2"/>
  <c r="G7" i="2"/>
  <c r="G6" i="2"/>
  <c r="G5" i="2"/>
  <c r="G4" i="2"/>
  <c r="D27" i="14" l="1"/>
  <c r="C12" i="1"/>
  <c r="D10" i="14"/>
  <c r="D15" i="14" s="1"/>
  <c r="D20" i="14" s="1"/>
  <c r="D21" i="14"/>
  <c r="D12" i="14"/>
  <c r="D17" i="14" s="1"/>
  <c r="D25" i="14" s="1"/>
  <c r="D23" i="14"/>
  <c r="H26" i="3"/>
  <c r="H14" i="3"/>
  <c r="G17" i="2"/>
  <c r="G30" i="2" s="1"/>
  <c r="H8" i="3"/>
  <c r="H27" i="3" s="1"/>
  <c r="H20" i="3"/>
  <c r="G32" i="4"/>
  <c r="C5" i="7"/>
  <c r="C6" i="7"/>
  <c r="D22" i="14" l="1"/>
  <c r="D11" i="7"/>
  <c r="D16" i="7" s="1"/>
  <c r="D12" i="7"/>
  <c r="D17" i="7" s="1"/>
  <c r="D10" i="7"/>
  <c r="D15" i="7" s="1"/>
  <c r="G5" i="4"/>
  <c r="C3" i="1"/>
  <c r="D23" i="7" l="1"/>
  <c r="D20" i="7"/>
  <c r="D25" i="7"/>
  <c r="D22" i="7"/>
  <c r="D21" i="7"/>
  <c r="D24" i="7"/>
  <c r="D26" i="7" s="1"/>
  <c r="D27" i="7" l="1"/>
  <c r="G6" i="4"/>
  <c r="C4" i="1"/>
  <c r="G8" i="4" l="1"/>
  <c r="G33" i="4" s="1"/>
  <c r="G7" i="4"/>
  <c r="C5" i="1" l="1"/>
  <c r="C7" i="1" s="1"/>
  <c r="C13" i="1"/>
  <c r="C15" i="1" s="1"/>
</calcChain>
</file>

<file path=xl/comments1.xml><?xml version="1.0" encoding="utf-8"?>
<comments xmlns="http://schemas.openxmlformats.org/spreadsheetml/2006/main">
  <authors>
    <author>王海青</author>
  </authors>
  <commentList>
    <comment ref="G2" authorId="0" shapeId="0">
      <text>
        <r>
          <rPr>
            <sz val="9"/>
            <rFont val="宋体"/>
            <family val="3"/>
            <charset val="134"/>
          </rPr>
          <t>请选择重用程度，缺省为“低”。</t>
        </r>
      </text>
    </comment>
  </commentList>
</comments>
</file>

<file path=xl/comments2.xml><?xml version="1.0" encoding="utf-8"?>
<comments xmlns="http://schemas.openxmlformats.org/spreadsheetml/2006/main">
  <authors>
    <author>王海青</author>
  </authors>
  <commentList>
    <comment ref="G2" authorId="0" shapeId="0">
      <text>
        <r>
          <rPr>
            <sz val="9"/>
            <rFont val="宋体"/>
            <family val="3"/>
            <charset val="134"/>
          </rPr>
          <t>请选择重用程度，缺省为“低”。</t>
        </r>
      </text>
    </comment>
  </commentList>
</comments>
</file>

<file path=xl/sharedStrings.xml><?xml version="1.0" encoding="utf-8"?>
<sst xmlns="http://schemas.openxmlformats.org/spreadsheetml/2006/main" count="496" uniqueCount="202">
  <si>
    <t xml:space="preserve">          表1  XX项目初步设计投资估算汇总表</t>
  </si>
  <si>
    <t>序  号</t>
  </si>
  <si>
    <r>
      <rPr>
        <b/>
        <sz val="10"/>
        <color indexed="8"/>
        <rFont val="宋体"/>
        <family val="3"/>
        <charset val="134"/>
      </rPr>
      <t xml:space="preserve">项 </t>
    </r>
    <r>
      <rPr>
        <b/>
        <sz val="10"/>
        <color indexed="8"/>
        <rFont val="宋体"/>
        <family val="3"/>
        <charset val="134"/>
      </rPr>
      <t xml:space="preserve"> </t>
    </r>
    <r>
      <rPr>
        <b/>
        <sz val="10"/>
        <color indexed="8"/>
        <rFont val="宋体"/>
        <family val="3"/>
        <charset val="134"/>
      </rPr>
      <t>目</t>
    </r>
  </si>
  <si>
    <t>金额（人民币元）</t>
  </si>
  <si>
    <t>备注</t>
  </si>
  <si>
    <t>一</t>
  </si>
  <si>
    <t>硬件设备购置费</t>
  </si>
  <si>
    <t>二</t>
  </si>
  <si>
    <t>三</t>
  </si>
  <si>
    <t>定制软件开发费</t>
  </si>
  <si>
    <t>五</t>
  </si>
  <si>
    <t>系统集成实施费与其他费</t>
  </si>
  <si>
    <t>项目建设其他费</t>
  </si>
  <si>
    <t>合计</t>
  </si>
  <si>
    <t>表2  硬件设备及材料购置投资估算表</t>
  </si>
  <si>
    <t>序号</t>
  </si>
  <si>
    <t>名  称</t>
  </si>
  <si>
    <t>技术参数与参考品牌</t>
  </si>
  <si>
    <t>单位</t>
  </si>
  <si>
    <t>数量</t>
  </si>
  <si>
    <t>单价（元）</t>
  </si>
  <si>
    <t>金额（元）</t>
  </si>
  <si>
    <t>备注
(价格市场调研依据说明等)</t>
  </si>
  <si>
    <t>XXX系统</t>
  </si>
  <si>
    <t>硬件</t>
  </si>
  <si>
    <t>服务器</t>
  </si>
  <si>
    <t>台</t>
  </si>
  <si>
    <t>存储</t>
  </si>
  <si>
    <t>套</t>
  </si>
  <si>
    <t>备份</t>
  </si>
  <si>
    <t>网络</t>
  </si>
  <si>
    <t>…</t>
  </si>
  <si>
    <t>安全</t>
  </si>
  <si>
    <t>材料</t>
  </si>
  <si>
    <t>材料1</t>
  </si>
  <si>
    <t>件</t>
  </si>
  <si>
    <t>i</t>
  </si>
  <si>
    <t>小计1</t>
  </si>
  <si>
    <t>小计2</t>
  </si>
  <si>
    <t>小计3</t>
  </si>
  <si>
    <t>各小计项之和</t>
  </si>
  <si>
    <r>
      <t xml:space="preserve">   </t>
    </r>
    <r>
      <rPr>
        <b/>
        <sz val="10"/>
        <color theme="1"/>
        <rFont val="宋体"/>
        <family val="3"/>
        <charset val="134"/>
      </rPr>
      <t>注：</t>
    </r>
    <r>
      <rPr>
        <sz val="10"/>
        <color theme="1"/>
        <rFont val="宋体"/>
        <family val="3"/>
        <charset val="134"/>
      </rPr>
      <t>1.表中的“单价”系模拟数字，仅供关联计算，没有实际价格意义。请在实际使用此表时，根据当时、当地的取费依据据实填写。原则上，软硬件设备单价10000元以上或单一类型软硬件设备总价40000元以上的，需提供三个或以上同级别不同品牌厂商（代理商）的询价报价单。询价报价单应包括品牌名称、规格型号及功能性能参数、单价、报价单位名称（加盖公章）、联系人及电话等内容，或提供近六个月内政府采购项目中同类型同级别设备的中标（合同）价格及相关有效证明材料。
       2.已对此子表的各数据项设置了与其他子表和汇总表的计算关联，使用时仅需根据项目的实际情况填入具体数字即可。</t>
    </r>
  </si>
  <si>
    <t xml:space="preserve">       </t>
  </si>
  <si>
    <t>表4 功能点明细表</t>
  </si>
  <si>
    <t>编号</t>
  </si>
  <si>
    <t>功能模块</t>
  </si>
  <si>
    <t>功能子模块</t>
  </si>
  <si>
    <t>功能点计数项名称</t>
  </si>
  <si>
    <t>类别</t>
  </si>
  <si>
    <t>重用程度</t>
  </si>
  <si>
    <t>新业务系统1</t>
  </si>
  <si>
    <t>日程安排</t>
  </si>
  <si>
    <t>ILF</t>
  </si>
  <si>
    <t>中</t>
  </si>
  <si>
    <t>提醒</t>
  </si>
  <si>
    <t>信息</t>
  </si>
  <si>
    <t>EIF</t>
  </si>
  <si>
    <t>用户</t>
  </si>
  <si>
    <t>xxx</t>
  </si>
  <si>
    <t>...</t>
  </si>
  <si>
    <t>新业务系统2</t>
  </si>
  <si>
    <t>业务领域专栏</t>
  </si>
  <si>
    <t>专栏与子栏目</t>
  </si>
  <si>
    <t>业务专题</t>
  </si>
  <si>
    <t>部门</t>
  </si>
  <si>
    <t>模块3</t>
  </si>
  <si>
    <t>模块4</t>
  </si>
  <si>
    <t>模块5</t>
  </si>
  <si>
    <t>事务功能模块6</t>
  </si>
  <si>
    <t>EI</t>
  </si>
  <si>
    <t>EO</t>
  </si>
  <si>
    <t>数据功能模块7</t>
  </si>
  <si>
    <t>表3.1  功能点测算规模、工作量、工期、费用表</t>
  </si>
  <si>
    <t>1.未调整功能点数UFP（功能点）</t>
  </si>
  <si>
    <t>经复用调整后的功能点数US（功能点）</t>
  </si>
  <si>
    <t>设定规模变更因子CF</t>
  </si>
  <si>
    <t>2.调整后功能点数S（功能点）</t>
  </si>
  <si>
    <t>S=UFP*CF 
（无复用度）</t>
  </si>
  <si>
    <t>S=US*CF
（调整复用度）</t>
  </si>
  <si>
    <t>功能点耗时率（PDR）
（人时/功能点）</t>
  </si>
  <si>
    <t>下限值（P25）</t>
  </si>
  <si>
    <t>中间值（P50）</t>
  </si>
  <si>
    <t>上限值（P75）</t>
  </si>
  <si>
    <t>3.未调整的工作量UE（人时）
计算公式：UE=PDR×S</t>
  </si>
  <si>
    <t>设定调整因子</t>
  </si>
  <si>
    <t>应用类型调整因子AT</t>
  </si>
  <si>
    <t>质量特性调整因子QR</t>
  </si>
  <si>
    <t>4.调整后的工作量AE（人时）
计算公式：AE=UE×SWF;
其中SWF=AT×QR;</t>
  </si>
  <si>
    <t>人月折算系数HM（人时/人月）</t>
  </si>
  <si>
    <t>平均人力成本费率F（元/人月）</t>
  </si>
  <si>
    <r>
      <rPr>
        <b/>
        <sz val="10"/>
        <color theme="1"/>
        <rFont val="宋体"/>
        <family val="3"/>
        <charset val="134"/>
        <scheme val="minor"/>
      </rPr>
      <t>5.工期D（月）
计算公式：D=1.277×(AE/8/22)</t>
    </r>
    <r>
      <rPr>
        <b/>
        <vertAlign val="superscript"/>
        <sz val="10"/>
        <color theme="1"/>
        <rFont val="宋体"/>
        <family val="3"/>
        <charset val="134"/>
        <scheme val="minor"/>
      </rPr>
      <t>0.404</t>
    </r>
  </si>
  <si>
    <t>6.软件开发费用（元）
计算公式：P=AE/HM×F</t>
  </si>
  <si>
    <t>最终费用/价格（元）</t>
  </si>
  <si>
    <t>调整后功能点数S单价</t>
  </si>
  <si>
    <t>功能点单价（元/功能点）</t>
  </si>
  <si>
    <t xml:space="preserve">
注：1.表中的应用类型调整因子与质量特性调整因子见下表；此表数据仅供计算方法参考，具体数据无实际意义。
    2.表中的功能点数系模拟数字，仅供关联计算参考，其数据没有实际价格意义,请在实际使用此表时，据实填写。
 </t>
  </si>
  <si>
    <t>表3.2 定制软件开发应用类型调整因子取值明细表</t>
  </si>
  <si>
    <t>应用类型</t>
  </si>
  <si>
    <t>描述</t>
  </si>
  <si>
    <t>调整因子</t>
  </si>
  <si>
    <t>选择</t>
  </si>
  <si>
    <t>业务处理</t>
  </si>
  <si>
    <t>多媒体</t>
  </si>
  <si>
    <t>智能信息</t>
  </si>
  <si>
    <t>系统</t>
  </si>
  <si>
    <t>通信控制</t>
  </si>
  <si>
    <t>流程控制</t>
  </si>
  <si>
    <t>表3.3 定制软件开发质量特性调整因子取值明细表</t>
  </si>
  <si>
    <t>判断标准</t>
  </si>
  <si>
    <t>性能效率</t>
  </si>
  <si>
    <t>没有明示对性能效率的需求</t>
  </si>
  <si>
    <t>参考GB/T 25000.10-2016文件提出了对性能效率的要求</t>
  </si>
  <si>
    <t>兼容性</t>
  </si>
  <si>
    <t>没有明示对兼容性的需求</t>
  </si>
  <si>
    <t>参考GB/T 25000.10-2016文件提出了兼容性的要求</t>
  </si>
  <si>
    <t>可靠性</t>
  </si>
  <si>
    <t>没有明示对可靠性的要求</t>
  </si>
  <si>
    <t>参考GB/T 25000.10-2016文件提出了可靠性的要求</t>
  </si>
  <si>
    <t>可移植性</t>
  </si>
  <si>
    <t>没有明示对可移植性的要求</t>
  </si>
  <si>
    <t>参考GB/T 25000.10-2016文件提出了可移植性的要求</t>
  </si>
  <si>
    <t>质量及特性调整因子 =（性能效率+兼容性+可靠性+可移植性）× 0.025 + 1</t>
  </si>
  <si>
    <t>表5  软件开发投资估算表</t>
  </si>
  <si>
    <t>业务系统</t>
  </si>
  <si>
    <t>子系统模块</t>
  </si>
  <si>
    <t>功能描述</t>
  </si>
  <si>
    <t>工作量(人月）</t>
  </si>
  <si>
    <t>单价（元/人月）</t>
  </si>
  <si>
    <t xml:space="preserve">      用户自行命名</t>
  </si>
  <si>
    <t>AAA</t>
  </si>
  <si>
    <t>aaa</t>
  </si>
  <si>
    <t>bbb</t>
  </si>
  <si>
    <t>ccc</t>
  </si>
  <si>
    <t>iii</t>
  </si>
  <si>
    <t>BBB</t>
  </si>
  <si>
    <t>CCC</t>
  </si>
  <si>
    <t>DDD</t>
  </si>
  <si>
    <t>小计j</t>
  </si>
  <si>
    <r>
      <rPr>
        <b/>
        <sz val="10"/>
        <rFont val="宋体"/>
        <family val="3"/>
        <charset val="134"/>
      </rPr>
      <t>注：</t>
    </r>
    <r>
      <rPr>
        <sz val="10"/>
        <rFont val="宋体"/>
        <family val="3"/>
        <charset val="134"/>
      </rPr>
      <t>1.专家经验估算软件开发工作量法适用于不能采用估算软件开发工作量法的情形，建设单位须举证说明原因。
    2. 采用专家经验法估算工作量时应依据项目建设方案并结合项目实际进行测算。
    3.表中的“工作量”和“单价”系模拟数字，仅供参考。请在实际使用此表时，根据当时、当地的取费依据据实填写“工作量”和“单价”即可；</t>
    </r>
  </si>
  <si>
    <t xml:space="preserve">   </t>
  </si>
  <si>
    <t>相关指标或用途说明</t>
  </si>
  <si>
    <t>表7  系统集成实施费与其他费用投资估算表</t>
  </si>
  <si>
    <t>系统集成实施服务费</t>
  </si>
  <si>
    <t>名称</t>
  </si>
  <si>
    <t>建设费用</t>
  </si>
  <si>
    <t>需集成的各项小计</t>
  </si>
  <si>
    <t>系统集成实施费</t>
  </si>
  <si>
    <t>基础环境集成实施费按不高于3%计取；硬件集成实施费按不高于5%计取；软件集成实施费按不高于8%计取。</t>
  </si>
  <si>
    <t>其他费用</t>
  </si>
  <si>
    <t>数量或工作量（人月）</t>
  </si>
  <si>
    <t>单价（元或元/人月）</t>
  </si>
  <si>
    <t>标准规范编制费</t>
  </si>
  <si>
    <t>xxx标准</t>
  </si>
  <si>
    <t>与项目建设强相关的安装费</t>
  </si>
  <si>
    <t>电费</t>
  </si>
  <si>
    <t>云资源租赁费</t>
  </si>
  <si>
    <t>网络租赁费</t>
  </si>
  <si>
    <t>系统迁移费</t>
  </si>
  <si>
    <t>应用系统推广培训费</t>
  </si>
  <si>
    <t>其他费小计</t>
  </si>
  <si>
    <r>
      <rPr>
        <b/>
        <sz val="10"/>
        <color theme="1"/>
        <rFont val="宋体"/>
        <family val="3"/>
        <charset val="134"/>
      </rPr>
      <t>注：</t>
    </r>
    <r>
      <rPr>
        <sz val="10"/>
        <color theme="1"/>
        <rFont val="宋体"/>
        <family val="3"/>
        <charset val="134"/>
      </rPr>
      <t>1.表中的“金额”系模拟数字，无实际意义，请在实际使用此表时，根据海南省政务信息化系统支出测算标准及评审指南相关费用计取方法计算填写。
    2.其他费用中所列费用应根据项目实际需要编列；
    3.已对此子表的各数据项设置了与其他子表和汇总表的计算关联，使用时仅需根据项目的实际情况填入具体数字即可。</t>
    </r>
  </si>
  <si>
    <t xml:space="preserve">    </t>
  </si>
  <si>
    <t>表8  项目建设其他费投资概算表</t>
  </si>
  <si>
    <t>取费标准</t>
  </si>
  <si>
    <t>项目建议书编制费</t>
  </si>
  <si>
    <t>海南省政务信息化系统支出测算标准及评审指南（试行）；参考计价格[1999]1283号</t>
  </si>
  <si>
    <t>海南省政务信息化系统支出测算标准及评审指南，按难易度据实计取。此项根据实际列支。</t>
  </si>
  <si>
    <t>可行性研究报告编制费</t>
  </si>
  <si>
    <t>海南省政务信息化系统支出测算标准及评审指南（试行）</t>
  </si>
  <si>
    <t>海南省政务信息化系统支出测算标准及评审指南（试行），计费基价按直线内插法计算，专业调整系数采用加权方式计算。此项根据实际列支。</t>
  </si>
  <si>
    <t>初步设计编制费</t>
  </si>
  <si>
    <t>海南省政务信息化系统支出测算标准及评审指南（试行），计费基价按直线内插法计算，专业调整系数采用加权方式计算。</t>
  </si>
  <si>
    <t>监理服务费</t>
  </si>
  <si>
    <t>软件测评费</t>
  </si>
  <si>
    <t>海南省政务信息化系统支出测算标准及评审指南（试行），采用差额定率累进法计算。</t>
  </si>
  <si>
    <t>网络安全等级保护测评费（或分级保护测评费）</t>
  </si>
  <si>
    <t>海南省政务信息化系统支出测算标准及评审指南（试行）；参考琼国密局字〔2021〕2号、琼财信〔2018〕1357号，等保三级测评费≤8万元，密评费≤12万元；等保二级测评费≤5万元，密评费≤8万元。</t>
  </si>
  <si>
    <t>1.海南省国家密码局等《关于进一步明确政务信息化项目建设密码应用有关要求的通知》（琼国密局字〔2021〕2号）；
2.海南省政务信息化系统支出测算标准及评审指南（试行）。</t>
  </si>
  <si>
    <t>商用密码应用安全性评估费</t>
  </si>
  <si>
    <t>OA、公文，人事、会计、工资等经营管理及业务处理应用软件</t>
  </si>
  <si>
    <t>科技、应用集成</t>
  </si>
  <si>
    <t>科学计算、模拟、空白表格程序，统计等；服务总线、应用集成等</t>
  </si>
  <si>
    <t>图表，影像，声音等多媒体应用领域，地理信息系统，教育和媒体应用等</t>
  </si>
  <si>
    <t>自然语言处理，人工智能，专家系统等</t>
  </si>
  <si>
    <t>操作系统，语言处理程序，DBMS，人与机器的接口，窗口系统，CASE，实用程序，自动化开发/设计工具等</t>
  </si>
  <si>
    <t>通信协议，仿真，交换机软件，GPS等</t>
  </si>
  <si>
    <t>仪器控制，机器人控制，实时控制，内置性软件等</t>
  </si>
  <si>
    <r>
      <t>注：</t>
    </r>
    <r>
      <rPr>
        <sz val="10"/>
        <color theme="1"/>
        <rFont val="宋体"/>
        <family val="3"/>
        <charset val="134"/>
      </rPr>
      <t>1.表中的“金额”系模拟数字，无实际意义，请在实际使用此表时，根据海南省政务信息化系统支出测算标准及评审指南相关费用计取方法计算填写。
    2.已对此子表的各数据项设置了与其他子表和汇总表的计算关联，使用时仅需根据项目的实际情况填入具体数字即可；
    3.因工程实际需要、项目所在地区相关标准和行业规范要求必须计列的其他费用，可选列，但须提供投资估算计列标准和依据。</t>
    </r>
    <phoneticPr fontId="33" type="noConversion"/>
  </si>
  <si>
    <t>注：1.此功能点明细表以及合计功能点数仅为示例，无实际意义，请在使用此表时据实识别功能点并填写；
    2.在项目建议书及可行性研究报告及估算阶段宜采用预估功能点方法进行功能点规模测算。
    初步设计按估算功能点计数法：UFP=10×ILF+7×EIF+4×EI+5×EO+4×EQ</t>
    <phoneticPr fontId="33" type="noConversion"/>
  </si>
  <si>
    <t>初步设计取值为1.25
在项目建议书及可行性研究报告及估算阶段宜采用预估功能点方法进行功能点规模测算，取1.39</t>
    <phoneticPr fontId="33" type="noConversion"/>
  </si>
  <si>
    <t>根据2020年中国软件行业基准数据（CSBMK®-202010）</t>
    <phoneticPr fontId="33" type="noConversion"/>
  </si>
  <si>
    <t>备注</t>
    <phoneticPr fontId="33" type="noConversion"/>
  </si>
  <si>
    <t>UFP
（未经调整的功能点）</t>
    <phoneticPr fontId="33" type="noConversion"/>
  </si>
  <si>
    <r>
      <rPr>
        <b/>
        <sz val="10.5"/>
        <color theme="1"/>
        <rFont val="宋体"/>
        <family val="3"/>
        <charset val="134"/>
      </rPr>
      <t>US</t>
    </r>
    <r>
      <rPr>
        <b/>
        <sz val="10.5"/>
        <color theme="1"/>
        <rFont val="方正黑体_GBK"/>
        <charset val="134"/>
      </rPr>
      <t xml:space="preserve">
</t>
    </r>
    <r>
      <rPr>
        <sz val="10.5"/>
        <color theme="1"/>
        <rFont val="Microsoft YaHei UI"/>
        <family val="2"/>
        <charset val="134"/>
      </rPr>
      <t>(调整的功能点）</t>
    </r>
    <phoneticPr fontId="33" type="noConversion"/>
  </si>
  <si>
    <t>低</t>
  </si>
  <si>
    <t>高</t>
  </si>
  <si>
    <t>EQ</t>
  </si>
  <si>
    <t>当前使用功能点估算表费用（包括ILF/EIF/EI/EO/EQ）</t>
    <phoneticPr fontId="33" type="noConversion"/>
  </si>
  <si>
    <t>当前使用功能点预估表费用，包含（EIF、ILF）</t>
    <phoneticPr fontId="33" type="noConversion"/>
  </si>
  <si>
    <t>四</t>
  </si>
  <si>
    <t>根据《2021年中国软件行业基准数据》：
在估算早期（概算、预算阶段），取值1.39;
在估算中期（如投标、项目计划阶段），取值1.21；
在估算晚期（如需求分析阶段），取值1.10</t>
    <phoneticPr fontId="33" type="noConversion"/>
  </si>
  <si>
    <r>
      <t xml:space="preserve">   注：1.声明：初始各表所列的示例数据是模拟计算的数据，目的是为了方便使用表格关联性和计算公式，没有项目真实金额的意义；
       2.表中的一、二、三、四、五项对应金额无需填写，由“硬件设备购置费”“定制软件开发费”“系统集成实施费与其他费”“项目建设其他费”四个子表的各项相关数据自动关联生成。
       </t>
    </r>
    <r>
      <rPr>
        <sz val="10"/>
        <color rgb="FF0070C0"/>
        <rFont val="宋体"/>
        <family val="3"/>
        <charset val="134"/>
      </rPr>
      <t>3. 根据不同的阶段选择不同的表模板使用，原则上功能点识别只需要填写《定制软件开发功能点明细表（预估）》， 定制软件开发费根据其填写内容自动生成。</t>
    </r>
    <r>
      <rPr>
        <sz val="10"/>
        <rFont val="宋体"/>
        <family val="3"/>
        <charset val="134"/>
      </rPr>
      <t xml:space="preserve">
   </t>
    </r>
    <r>
      <rPr>
        <b/>
        <sz val="10"/>
        <color rgb="FFFF0000"/>
        <rFont val="宋体"/>
        <family val="3"/>
        <charset val="134"/>
      </rPr>
      <t>此表为示范例子，项目的整体投资应严格按照海南省政务信息化系统项目支出测算标准及评审指南（试行）要求进行取数和测算，特别是需要充分做好市场调查，设备、成品软件、数据资源、数据服务等购买根据额度要求，应提供三个或以上同级别不同品牌厂商（代理商）的询价报价单。如硬件询价报价单应包括品牌名称、设备型号及功能性能参数、单价、报价单位名称（加盖公章）、联系人及电话等内容，或提供近六个月内政府采购项目中同类型同级别设备的中标（合同）价格及相关有效证明材料。</t>
    </r>
    <phoneticPr fontId="3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</si>
</sst>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176" formatCode="#,##0.00_ "/>
    <numFmt numFmtId="177" formatCode="\¥#,##0.00;\¥\-#,##0.00"/>
    <numFmt numFmtId="178" formatCode="\¥#,##0.00;[Red]\¥\-#,##0.00"/>
    <numFmt numFmtId="179" formatCode="0.00_ "/>
    <numFmt numFmtId="180" formatCode="0.00;[Red]0.00"/>
    <numFmt numFmtId="181" formatCode="0;[Red]0"/>
    <numFmt numFmtId="182" formatCode="0_ "/>
  </numFmts>
  <fonts count="39">
    <font>
      <sz val="11"/>
      <color theme="1"/>
      <name val="宋体"/>
      <charset val="134"/>
      <scheme val="minor"/>
    </font>
    <font>
      <sz val="10"/>
      <color theme="1"/>
      <name val="宋体"/>
      <family val="3"/>
      <charset val="134"/>
      <scheme val="minor"/>
    </font>
    <font>
      <sz val="11"/>
      <name val="宋体"/>
      <family val="3"/>
      <charset val="134"/>
      <scheme val="minor"/>
    </font>
    <font>
      <b/>
      <sz val="12"/>
      <color theme="1"/>
      <name val="宋体"/>
      <family val="3"/>
      <charset val="134"/>
      <scheme val="minor"/>
    </font>
    <font>
      <b/>
      <sz val="10"/>
      <color indexed="8"/>
      <name val="宋体"/>
      <family val="3"/>
      <charset val="134"/>
    </font>
    <font>
      <b/>
      <sz val="10"/>
      <name val="宋体"/>
      <family val="3"/>
      <charset val="134"/>
    </font>
    <font>
      <sz val="10"/>
      <name val="宋体"/>
      <family val="3"/>
      <charset val="134"/>
    </font>
    <font>
      <sz val="10"/>
      <color indexed="8"/>
      <name val="宋体"/>
      <family val="3"/>
      <charset val="134"/>
    </font>
    <font>
      <b/>
      <sz val="10"/>
      <color theme="1"/>
      <name val="宋体"/>
      <family val="3"/>
      <charset val="134"/>
    </font>
    <font>
      <sz val="10"/>
      <name val="宋体"/>
      <family val="3"/>
      <charset val="134"/>
      <scheme val="minor"/>
    </font>
    <font>
      <sz val="11"/>
      <color rgb="FFFF0000"/>
      <name val="宋体"/>
      <family val="3"/>
      <charset val="134"/>
      <scheme val="minor"/>
    </font>
    <font>
      <b/>
      <sz val="11"/>
      <color theme="1"/>
      <name val="宋体"/>
      <family val="3"/>
      <charset val="134"/>
      <scheme val="minor"/>
    </font>
    <font>
      <b/>
      <sz val="10"/>
      <color rgb="FF000000"/>
      <name val="宋体"/>
      <family val="3"/>
      <charset val="134"/>
    </font>
    <font>
      <b/>
      <sz val="10"/>
      <color theme="1"/>
      <name val="宋体"/>
      <family val="3"/>
      <charset val="134"/>
      <scheme val="minor"/>
    </font>
    <font>
      <sz val="10"/>
      <color theme="1"/>
      <name val="宋体"/>
      <family val="3"/>
      <charset val="134"/>
    </font>
    <font>
      <b/>
      <sz val="10"/>
      <color indexed="8"/>
      <name val="宋体"/>
      <family val="3"/>
      <charset val="134"/>
      <scheme val="minor"/>
    </font>
    <font>
      <b/>
      <sz val="12"/>
      <color rgb="FF000000"/>
      <name val="宋体"/>
      <family val="3"/>
      <charset val="134"/>
    </font>
    <font>
      <sz val="10.5"/>
      <color indexed="8"/>
      <name val="方正小标宋_GBK"/>
      <charset val="134"/>
    </font>
    <font>
      <b/>
      <sz val="10.5"/>
      <color indexed="8"/>
      <name val="方正黑体_GBK"/>
      <charset val="134"/>
    </font>
    <font>
      <sz val="10.5"/>
      <color indexed="8"/>
      <name val="方正楷体_GBK"/>
      <charset val="134"/>
    </font>
    <font>
      <sz val="10.5"/>
      <color indexed="8"/>
      <name val="方正仿宋_GBK"/>
      <charset val="134"/>
    </font>
    <font>
      <sz val="11"/>
      <color indexed="8"/>
      <name val="宋体"/>
      <family val="3"/>
      <charset val="134"/>
    </font>
    <font>
      <b/>
      <sz val="12"/>
      <color theme="1"/>
      <name val="方正小标宋_GBK"/>
      <charset val="134"/>
    </font>
    <font>
      <sz val="12"/>
      <color theme="1"/>
      <name val="方正小标宋_GBK"/>
      <charset val="134"/>
    </font>
    <font>
      <b/>
      <sz val="10.5"/>
      <color theme="1"/>
      <name val="方正黑体_GBK"/>
      <charset val="134"/>
    </font>
    <font>
      <sz val="10.5"/>
      <color theme="1"/>
      <name val="方正仿宋_GBK"/>
      <charset val="134"/>
    </font>
    <font>
      <b/>
      <sz val="10.5"/>
      <color theme="1"/>
      <name val="方正仿宋_GBK"/>
      <charset val="134"/>
    </font>
    <font>
      <sz val="10"/>
      <color rgb="FFFF0000"/>
      <name val="宋体"/>
      <family val="3"/>
      <charset val="134"/>
      <scheme val="minor"/>
    </font>
    <font>
      <b/>
      <sz val="12"/>
      <color indexed="8"/>
      <name val="宋体"/>
      <family val="3"/>
      <charset val="134"/>
    </font>
    <font>
      <sz val="12"/>
      <name val="宋体"/>
      <family val="3"/>
      <charset val="134"/>
    </font>
    <font>
      <b/>
      <vertAlign val="superscript"/>
      <sz val="10"/>
      <color theme="1"/>
      <name val="宋体"/>
      <family val="3"/>
      <charset val="134"/>
      <scheme val="minor"/>
    </font>
    <font>
      <b/>
      <sz val="10"/>
      <color rgb="FFFF0000"/>
      <name val="宋体"/>
      <family val="3"/>
      <charset val="134"/>
    </font>
    <font>
      <sz val="9"/>
      <name val="宋体"/>
      <family val="3"/>
      <charset val="134"/>
    </font>
    <font>
      <sz val="9"/>
      <name val="宋体"/>
      <family val="3"/>
      <charset val="134"/>
      <scheme val="minor"/>
    </font>
    <font>
      <sz val="11"/>
      <color theme="1"/>
      <name val="宋体"/>
      <family val="3"/>
      <charset val="134"/>
      <scheme val="minor"/>
    </font>
    <font>
      <sz val="10.5"/>
      <color theme="1"/>
      <name val="Microsoft YaHei UI"/>
      <family val="2"/>
      <charset val="134"/>
    </font>
    <font>
      <b/>
      <sz val="10.5"/>
      <color theme="1"/>
      <name val="宋体"/>
      <family val="3"/>
      <charset val="134"/>
    </font>
    <font>
      <b/>
      <sz val="10.5"/>
      <color theme="1"/>
      <name val="方正黑体_GBK"/>
      <family val="3"/>
      <charset val="134"/>
    </font>
    <font>
      <sz val="10"/>
      <color rgb="FF0070C0"/>
      <name val="宋体"/>
      <family val="3"/>
      <charset val="134"/>
    </font>
  </fonts>
  <fills count="5">
    <fill>
      <patternFill patternType="none"/>
    </fill>
    <fill>
      <patternFill patternType="gray125"/>
    </fill>
    <fill>
      <patternFill patternType="solid">
        <fgColor theme="0" tint="-4.9989318521683403E-2"/>
        <bgColor indexed="64"/>
      </patternFill>
    </fill>
    <fill>
      <patternFill patternType="solid">
        <fgColor theme="6" tint="0.39979247413556324"/>
        <bgColor indexed="64"/>
      </patternFill>
    </fill>
    <fill>
      <patternFill patternType="solid">
        <fgColor rgb="FFFFFF00"/>
        <bgColor indexed="64"/>
      </patternFill>
    </fill>
  </fills>
  <borders count="32">
    <border>
      <left/>
      <right/>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bottom/>
      <diagonal/>
    </border>
    <border>
      <left style="thin">
        <color auto="1"/>
      </left>
      <right/>
      <top/>
      <bottom/>
      <diagonal/>
    </border>
    <border>
      <left/>
      <right style="thin">
        <color auto="1"/>
      </right>
      <top/>
      <bottom/>
      <diagonal/>
    </border>
    <border>
      <left style="thin">
        <color auto="1"/>
      </left>
      <right style="medium">
        <color auto="1"/>
      </right>
      <top style="thin">
        <color auto="1"/>
      </top>
      <bottom/>
      <diagonal/>
    </border>
    <border>
      <left style="medium">
        <color auto="1"/>
      </left>
      <right style="thin">
        <color auto="1"/>
      </right>
      <top style="thin">
        <color auto="1"/>
      </top>
      <bottom/>
      <diagonal/>
    </border>
    <border>
      <left/>
      <right style="thin">
        <color auto="1"/>
      </right>
      <top style="thin">
        <color auto="1"/>
      </top>
      <bottom style="thin">
        <color auto="1"/>
      </bottom>
      <diagonal/>
    </border>
    <border>
      <left style="medium">
        <color auto="1"/>
      </left>
      <right style="thin">
        <color auto="1"/>
      </right>
      <top/>
      <bottom style="thin">
        <color auto="1"/>
      </bottom>
      <diagonal/>
    </border>
    <border>
      <left style="medium">
        <color auto="1"/>
      </left>
      <right/>
      <top style="thin">
        <color auto="1"/>
      </top>
      <bottom style="medium">
        <color auto="1"/>
      </bottom>
      <diagonal/>
    </border>
    <border>
      <left/>
      <right/>
      <top style="thin">
        <color auto="1"/>
      </top>
      <bottom style="medium">
        <color auto="1"/>
      </bottom>
      <diagonal/>
    </border>
    <border>
      <left/>
      <right style="medium">
        <color auto="1"/>
      </right>
      <top style="thin">
        <color auto="1"/>
      </top>
      <bottom style="medium">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medium">
        <color indexed="64"/>
      </left>
      <right/>
      <top style="medium">
        <color indexed="64"/>
      </top>
      <bottom style="medium">
        <color auto="1"/>
      </bottom>
      <diagonal/>
    </border>
    <border>
      <left/>
      <right/>
      <top style="medium">
        <color indexed="64"/>
      </top>
      <bottom style="medium">
        <color auto="1"/>
      </bottom>
      <diagonal/>
    </border>
    <border>
      <left/>
      <right style="medium">
        <color indexed="64"/>
      </right>
      <top style="medium">
        <color indexed="64"/>
      </top>
      <bottom style="medium">
        <color auto="1"/>
      </bottom>
      <diagonal/>
    </border>
  </borders>
  <cellStyleXfs count="3">
    <xf numFmtId="0" fontId="0" fillId="0" borderId="0">
      <alignment vertical="center"/>
    </xf>
    <xf numFmtId="0" fontId="21" fillId="0" borderId="0" applyNumberFormat="0" applyFont="0" applyFill="0" applyBorder="0" applyAlignment="0" applyProtection="0">
      <alignment vertical="center"/>
    </xf>
    <xf numFmtId="0" fontId="29" fillId="0" borderId="0">
      <alignment vertical="center"/>
    </xf>
  </cellStyleXfs>
  <cellXfs count="217">
    <xf numFmtId="0" fontId="0" fillId="0" borderId="0" xfId="0">
      <alignment vertical="center"/>
    </xf>
    <xf numFmtId="0" fontId="1" fillId="0" borderId="0" xfId="0" applyFont="1">
      <alignment vertical="center"/>
    </xf>
    <xf numFmtId="0" fontId="1" fillId="0" borderId="0" xfId="0" applyFont="1" applyAlignment="1">
      <alignment vertical="center"/>
    </xf>
    <xf numFmtId="10" fontId="2" fillId="0" borderId="0" xfId="0" applyNumberFormat="1" applyFont="1" applyAlignment="1">
      <alignment vertical="center" wrapText="1"/>
    </xf>
    <xf numFmtId="178" fontId="0" fillId="0" borderId="0" xfId="0" applyNumberFormat="1">
      <alignment vertical="center"/>
    </xf>
    <xf numFmtId="0" fontId="4" fillId="2" borderId="2" xfId="0" applyFont="1" applyFill="1" applyBorder="1" applyAlignment="1">
      <alignment horizontal="center" vertical="center" wrapText="1"/>
    </xf>
    <xf numFmtId="0" fontId="4" fillId="2" borderId="3" xfId="0" applyFont="1" applyFill="1" applyBorder="1" applyAlignment="1">
      <alignment horizontal="center" vertical="center" wrapText="1"/>
    </xf>
    <xf numFmtId="10" fontId="5" fillId="2" borderId="3" xfId="0" applyNumberFormat="1" applyFont="1" applyFill="1" applyBorder="1" applyAlignment="1">
      <alignment horizontal="center" vertical="center" wrapText="1"/>
    </xf>
    <xf numFmtId="178" fontId="4" fillId="2" borderId="3" xfId="0" applyNumberFormat="1" applyFont="1" applyFill="1" applyBorder="1" applyAlignment="1">
      <alignment horizontal="center" vertical="center" wrapText="1"/>
    </xf>
    <xf numFmtId="0" fontId="4" fillId="2" borderId="4" xfId="0" applyFont="1" applyFill="1" applyBorder="1" applyAlignment="1">
      <alignment horizontal="center" vertical="center" wrapText="1"/>
    </xf>
    <xf numFmtId="0" fontId="6" fillId="0" borderId="5" xfId="0" applyFont="1" applyBorder="1" applyAlignment="1">
      <alignment horizontal="center" vertical="center" wrapText="1"/>
    </xf>
    <xf numFmtId="0" fontId="6" fillId="0" borderId="4" xfId="0" applyFont="1" applyBorder="1" applyAlignment="1">
      <alignment vertical="center" wrapText="1"/>
    </xf>
    <xf numFmtId="10" fontId="6" fillId="0" borderId="4" xfId="0" applyNumberFormat="1" applyFont="1" applyBorder="1" applyAlignment="1">
      <alignment vertical="center" wrapText="1"/>
    </xf>
    <xf numFmtId="176" fontId="6" fillId="0" borderId="4" xfId="0" applyNumberFormat="1" applyFont="1" applyBorder="1" applyAlignment="1">
      <alignment vertical="center" wrapText="1"/>
    </xf>
    <xf numFmtId="0" fontId="6" fillId="0" borderId="6" xfId="0" applyFont="1" applyBorder="1" applyAlignment="1">
      <alignment horizontal="left" vertical="center" wrapText="1"/>
    </xf>
    <xf numFmtId="0" fontId="6" fillId="0" borderId="4" xfId="0" applyFont="1" applyBorder="1" applyAlignment="1">
      <alignment horizontal="left" vertical="center" wrapText="1"/>
    </xf>
    <xf numFmtId="0" fontId="7" fillId="0" borderId="4" xfId="0" applyFont="1" applyBorder="1" applyAlignment="1">
      <alignment horizontal="left" vertical="center" wrapText="1"/>
    </xf>
    <xf numFmtId="0" fontId="5" fillId="0" borderId="4" xfId="0" applyFont="1" applyBorder="1" applyAlignment="1">
      <alignment horizontal="center" vertical="center" wrapText="1"/>
    </xf>
    <xf numFmtId="176" fontId="5" fillId="0" borderId="4" xfId="0" applyNumberFormat="1" applyFont="1" applyBorder="1" applyAlignment="1">
      <alignment vertical="center" wrapText="1"/>
    </xf>
    <xf numFmtId="178" fontId="10" fillId="0" borderId="0" xfId="0" applyNumberFormat="1" applyFont="1">
      <alignment vertical="center"/>
    </xf>
    <xf numFmtId="0" fontId="10" fillId="0" borderId="0" xfId="0" applyFont="1">
      <alignment vertical="center"/>
    </xf>
    <xf numFmtId="0" fontId="11" fillId="0" borderId="0" xfId="0" applyFont="1">
      <alignment vertical="center"/>
    </xf>
    <xf numFmtId="0" fontId="4" fillId="2" borderId="2" xfId="0" applyFont="1" applyFill="1" applyBorder="1" applyAlignment="1">
      <alignment horizontal="center" vertical="center"/>
    </xf>
    <xf numFmtId="0" fontId="4" fillId="2" borderId="3" xfId="0" applyFont="1" applyFill="1" applyBorder="1" applyAlignment="1">
      <alignment horizontal="center" vertical="center"/>
    </xf>
    <xf numFmtId="0" fontId="4" fillId="2" borderId="10" xfId="0" applyFont="1" applyFill="1" applyBorder="1" applyAlignment="1">
      <alignment horizontal="center" vertical="center"/>
    </xf>
    <xf numFmtId="0" fontId="4" fillId="0" borderId="5" xfId="0" applyFont="1" applyBorder="1" applyAlignment="1">
      <alignment horizontal="center" vertical="center"/>
    </xf>
    <xf numFmtId="0" fontId="7" fillId="0" borderId="4" xfId="0" applyFont="1" applyBorder="1" applyAlignment="1">
      <alignment horizontal="left" vertical="center"/>
    </xf>
    <xf numFmtId="178" fontId="4" fillId="0" borderId="4" xfId="0" applyNumberFormat="1" applyFont="1" applyBorder="1" applyAlignment="1">
      <alignment horizontal="center" vertical="center" wrapText="1"/>
    </xf>
    <xf numFmtId="0" fontId="4" fillId="0" borderId="11" xfId="0" applyFont="1" applyBorder="1" applyAlignment="1">
      <alignment horizontal="center" vertical="center"/>
    </xf>
    <xf numFmtId="0" fontId="7" fillId="0" borderId="5" xfId="0" applyFont="1" applyBorder="1" applyAlignment="1">
      <alignment horizontal="center" vertical="center"/>
    </xf>
    <xf numFmtId="176" fontId="7" fillId="0" borderId="4" xfId="0" applyNumberFormat="1" applyFont="1" applyBorder="1" applyAlignment="1">
      <alignment horizontal="right" vertical="center"/>
    </xf>
    <xf numFmtId="0" fontId="7" fillId="0" borderId="11" xfId="0" applyFont="1" applyBorder="1" applyAlignment="1">
      <alignment horizontal="right" vertical="center" wrapText="1"/>
    </xf>
    <xf numFmtId="0" fontId="4" fillId="2" borderId="5" xfId="0" applyFont="1" applyFill="1" applyBorder="1" applyAlignment="1">
      <alignment horizontal="center" vertical="center"/>
    </xf>
    <xf numFmtId="0" fontId="7" fillId="2" borderId="4" xfId="0" applyFont="1" applyFill="1" applyBorder="1" applyAlignment="1">
      <alignment horizontal="center" vertical="center"/>
    </xf>
    <xf numFmtId="176" fontId="7" fillId="2" borderId="4" xfId="0" applyNumberFormat="1" applyFont="1" applyFill="1" applyBorder="1">
      <alignment vertical="center"/>
    </xf>
    <xf numFmtId="0" fontId="4" fillId="2" borderId="11" xfId="0" applyFont="1" applyFill="1" applyBorder="1" applyAlignment="1">
      <alignment horizontal="left" vertical="center" wrapText="1"/>
    </xf>
    <xf numFmtId="0" fontId="7" fillId="0" borderId="12" xfId="0" applyFont="1" applyBorder="1" applyAlignment="1">
      <alignment horizontal="center" vertical="center"/>
    </xf>
    <xf numFmtId="0" fontId="12" fillId="0" borderId="13" xfId="0" applyFont="1" applyBorder="1">
      <alignment vertical="center"/>
    </xf>
    <xf numFmtId="176" fontId="4" fillId="0" borderId="13" xfId="0" applyNumberFormat="1" applyFont="1" applyBorder="1">
      <alignment vertical="center"/>
    </xf>
    <xf numFmtId="0" fontId="7" fillId="0" borderId="14" xfId="0" applyFont="1" applyBorder="1" applyAlignment="1">
      <alignment horizontal="left" vertical="center" wrapText="1"/>
    </xf>
    <xf numFmtId="0" fontId="7" fillId="0" borderId="15" xfId="0" applyFont="1" applyBorder="1" applyAlignment="1">
      <alignment horizontal="center" vertical="center"/>
    </xf>
    <xf numFmtId="0" fontId="7" fillId="2" borderId="2" xfId="0" applyFont="1" applyFill="1" applyBorder="1" applyAlignment="1">
      <alignment horizontal="center" vertical="center"/>
    </xf>
    <xf numFmtId="0" fontId="12" fillId="2" borderId="3" xfId="0" applyFont="1" applyFill="1" applyBorder="1" applyAlignment="1">
      <alignment horizontal="left" vertical="center"/>
    </xf>
    <xf numFmtId="0" fontId="5" fillId="2" borderId="3" xfId="0" applyFont="1" applyFill="1" applyBorder="1" applyAlignment="1">
      <alignment horizontal="center" vertical="center" wrapText="1"/>
    </xf>
    <xf numFmtId="176" fontId="4" fillId="2" borderId="3" xfId="0" applyNumberFormat="1" applyFont="1" applyFill="1" applyBorder="1" applyAlignment="1">
      <alignment horizontal="center" vertical="center"/>
    </xf>
    <xf numFmtId="176" fontId="7" fillId="0" borderId="4" xfId="0" applyNumberFormat="1" applyFont="1" applyBorder="1">
      <alignment vertical="center"/>
    </xf>
    <xf numFmtId="0" fontId="6" fillId="0" borderId="11" xfId="0" applyFont="1" applyBorder="1" applyAlignment="1">
      <alignment horizontal="left" vertical="center" wrapText="1"/>
    </xf>
    <xf numFmtId="0" fontId="6" fillId="0" borderId="18" xfId="0" applyFont="1" applyBorder="1" applyAlignment="1">
      <alignment horizontal="left" vertical="center" wrapText="1"/>
    </xf>
    <xf numFmtId="0" fontId="6" fillId="0" borderId="5" xfId="0" applyFont="1" applyBorder="1" applyAlignment="1">
      <alignment horizontal="center" vertical="center"/>
    </xf>
    <xf numFmtId="0" fontId="6" fillId="0" borderId="4" xfId="0" applyFont="1" applyBorder="1">
      <alignment vertical="center"/>
    </xf>
    <xf numFmtId="176" fontId="6" fillId="0" borderId="4" xfId="0" applyNumberFormat="1" applyFont="1" applyBorder="1">
      <alignment vertical="center"/>
    </xf>
    <xf numFmtId="0" fontId="6" fillId="0" borderId="18" xfId="0" applyFont="1" applyBorder="1" applyAlignment="1">
      <alignment vertical="center" wrapText="1"/>
    </xf>
    <xf numFmtId="0" fontId="6" fillId="0" borderId="11" xfId="0" applyFont="1" applyBorder="1" applyAlignment="1">
      <alignment vertical="center" wrapText="1"/>
    </xf>
    <xf numFmtId="0" fontId="6" fillId="0" borderId="5" xfId="0" applyFont="1" applyBorder="1" applyAlignment="1">
      <alignment horizontal="right" vertical="center"/>
    </xf>
    <xf numFmtId="0" fontId="7" fillId="0" borderId="11" xfId="0" applyFont="1" applyBorder="1" applyAlignment="1">
      <alignment horizontal="left" vertical="center" wrapText="1"/>
    </xf>
    <xf numFmtId="0" fontId="5" fillId="0" borderId="4" xfId="0" applyFont="1" applyBorder="1" applyAlignment="1">
      <alignment horizontal="center" vertical="center"/>
    </xf>
    <xf numFmtId="176" fontId="5" fillId="0" borderId="4" xfId="0" applyNumberFormat="1" applyFont="1" applyBorder="1">
      <alignment vertical="center"/>
    </xf>
    <xf numFmtId="0" fontId="0" fillId="0" borderId="19" xfId="0" applyBorder="1">
      <alignment vertical="center"/>
    </xf>
    <xf numFmtId="0" fontId="11" fillId="0" borderId="6" xfId="0" applyFont="1" applyBorder="1" applyAlignment="1">
      <alignment horizontal="center" vertical="center"/>
    </xf>
    <xf numFmtId="178" fontId="0" fillId="0" borderId="6" xfId="0" applyNumberFormat="1" applyBorder="1">
      <alignment vertical="center"/>
    </xf>
    <xf numFmtId="0" fontId="0" fillId="0" borderId="18" xfId="0" applyBorder="1">
      <alignment vertical="center"/>
    </xf>
    <xf numFmtId="0" fontId="4" fillId="2" borderId="10" xfId="0" applyFont="1" applyFill="1" applyBorder="1" applyAlignment="1">
      <alignment horizontal="center" vertical="center" wrapText="1"/>
    </xf>
    <xf numFmtId="0" fontId="7" fillId="0" borderId="5" xfId="0" applyFont="1" applyBorder="1">
      <alignment vertical="center"/>
    </xf>
    <xf numFmtId="0" fontId="7" fillId="0" borderId="4" xfId="0" applyFont="1" applyBorder="1">
      <alignment vertical="center"/>
    </xf>
    <xf numFmtId="0" fontId="7" fillId="0" borderId="4" xfId="0" applyFont="1" applyBorder="1" applyAlignment="1">
      <alignment horizontal="center" vertical="center"/>
    </xf>
    <xf numFmtId="0" fontId="0" fillId="0" borderId="11" xfId="0" applyFont="1" applyBorder="1">
      <alignment vertical="center"/>
    </xf>
    <xf numFmtId="0" fontId="7" fillId="0" borderId="5" xfId="0" applyFont="1" applyBorder="1" applyAlignment="1">
      <alignment horizontal="right" vertical="center"/>
    </xf>
    <xf numFmtId="0" fontId="1" fillId="0" borderId="4" xfId="0" applyFont="1" applyBorder="1">
      <alignment vertical="center"/>
    </xf>
    <xf numFmtId="0" fontId="1" fillId="0" borderId="5" xfId="0" applyFont="1" applyBorder="1" applyAlignment="1">
      <alignment horizontal="right" vertical="center"/>
    </xf>
    <xf numFmtId="0" fontId="4" fillId="0" borderId="5" xfId="0" applyFont="1" applyBorder="1">
      <alignment vertical="center"/>
    </xf>
    <xf numFmtId="0" fontId="4" fillId="0" borderId="4" xfId="0" applyFont="1" applyBorder="1" applyAlignment="1">
      <alignment horizontal="center" vertical="center"/>
    </xf>
    <xf numFmtId="0" fontId="4" fillId="0" borderId="4" xfId="0" applyFont="1" applyBorder="1">
      <alignment vertical="center"/>
    </xf>
    <xf numFmtId="176" fontId="4" fillId="0" borderId="4" xfId="0" applyNumberFormat="1" applyFont="1" applyBorder="1" applyAlignment="1">
      <alignment horizontal="right" vertical="center"/>
    </xf>
    <xf numFmtId="0" fontId="11" fillId="0" borderId="11" xfId="0" applyFont="1" applyBorder="1">
      <alignment vertical="center"/>
    </xf>
    <xf numFmtId="0" fontId="1" fillId="0" borderId="4" xfId="0" applyFont="1" applyBorder="1" applyAlignment="1">
      <alignment horizontal="left" vertical="center"/>
    </xf>
    <xf numFmtId="0" fontId="1" fillId="0" borderId="4" xfId="0" applyFont="1" applyBorder="1" applyAlignment="1">
      <alignment horizontal="center" vertical="center"/>
    </xf>
    <xf numFmtId="176" fontId="1" fillId="0" borderId="4" xfId="0" applyNumberFormat="1" applyFont="1" applyBorder="1">
      <alignment vertical="center"/>
    </xf>
    <xf numFmtId="0" fontId="1" fillId="0" borderId="11" xfId="0" applyFont="1" applyBorder="1">
      <alignment vertical="center"/>
    </xf>
    <xf numFmtId="0" fontId="4" fillId="0" borderId="12" xfId="0" applyFont="1" applyBorder="1">
      <alignment vertical="center"/>
    </xf>
    <xf numFmtId="0" fontId="4" fillId="0" borderId="13" xfId="0" applyFont="1" applyBorder="1" applyAlignment="1">
      <alignment horizontal="center" vertical="center"/>
    </xf>
    <xf numFmtId="0" fontId="4" fillId="0" borderId="13" xfId="0" applyFont="1" applyBorder="1">
      <alignment vertical="center"/>
    </xf>
    <xf numFmtId="176" fontId="4" fillId="0" borderId="13" xfId="0" applyNumberFormat="1" applyFont="1" applyBorder="1" applyAlignment="1">
      <alignment horizontal="right" vertical="center"/>
    </xf>
    <xf numFmtId="0" fontId="1" fillId="0" borderId="14" xfId="0" applyFont="1" applyBorder="1">
      <alignment vertical="center"/>
    </xf>
    <xf numFmtId="0" fontId="0" fillId="0" borderId="0" xfId="0" applyAlignment="1">
      <alignment horizontal="center" vertical="center"/>
    </xf>
    <xf numFmtId="0" fontId="4" fillId="2" borderId="3" xfId="0" applyNumberFormat="1" applyFont="1" applyFill="1" applyBorder="1" applyAlignment="1">
      <alignment horizontal="center" vertical="center" wrapText="1"/>
    </xf>
    <xf numFmtId="0" fontId="6" fillId="0" borderId="4" xfId="0" applyFont="1" applyBorder="1" applyAlignment="1">
      <alignment horizontal="justify" vertical="center" wrapText="1"/>
    </xf>
    <xf numFmtId="0" fontId="6" fillId="0" borderId="4" xfId="0" applyFont="1" applyBorder="1" applyAlignment="1">
      <alignment horizontal="right" vertical="center" wrapText="1"/>
    </xf>
    <xf numFmtId="176" fontId="6" fillId="0" borderId="4" xfId="0" applyNumberFormat="1" applyFont="1" applyBorder="1" applyAlignment="1">
      <alignment horizontal="right" vertical="center" wrapText="1"/>
    </xf>
    <xf numFmtId="0" fontId="0" fillId="0" borderId="12" xfId="0" applyBorder="1">
      <alignment vertical="center"/>
    </xf>
    <xf numFmtId="0" fontId="0" fillId="0" borderId="13" xfId="0" applyBorder="1">
      <alignment vertical="center"/>
    </xf>
    <xf numFmtId="0" fontId="5" fillId="0" borderId="13" xfId="0" applyFont="1" applyFill="1" applyBorder="1" applyAlignment="1">
      <alignment horizontal="center" vertical="center" wrapText="1"/>
    </xf>
    <xf numFmtId="178" fontId="0" fillId="0" borderId="13" xfId="0" applyNumberFormat="1" applyBorder="1">
      <alignment vertical="center"/>
    </xf>
    <xf numFmtId="4" fontId="4" fillId="2" borderId="10" xfId="0" applyNumberFormat="1" applyFont="1" applyFill="1" applyBorder="1" applyAlignment="1">
      <alignment horizontal="center" vertical="center" wrapText="1"/>
    </xf>
    <xf numFmtId="0" fontId="7" fillId="0" borderId="11" xfId="0" applyFont="1" applyBorder="1">
      <alignment vertical="center"/>
    </xf>
    <xf numFmtId="0" fontId="0" fillId="0" borderId="0" xfId="0" applyAlignment="1">
      <alignment vertical="center" wrapText="1"/>
    </xf>
    <xf numFmtId="0" fontId="13" fillId="0" borderId="2" xfId="2" applyFont="1" applyFill="1" applyBorder="1" applyAlignment="1">
      <alignment horizontal="left" vertical="center" wrapText="1"/>
    </xf>
    <xf numFmtId="0" fontId="1" fillId="0" borderId="3" xfId="2" applyFont="1" applyFill="1" applyBorder="1" applyAlignment="1">
      <alignment vertical="center" wrapText="1"/>
    </xf>
    <xf numFmtId="0" fontId="1" fillId="0" borderId="3" xfId="2" applyFont="1" applyFill="1" applyBorder="1" applyAlignment="1">
      <alignment horizontal="right" vertical="center" wrapText="1"/>
    </xf>
    <xf numFmtId="180" fontId="1" fillId="0" borderId="10" xfId="2" applyNumberFormat="1" applyFont="1" applyFill="1" applyBorder="1" applyAlignment="1">
      <alignment horizontal="right" vertical="center" wrapText="1"/>
    </xf>
    <xf numFmtId="0" fontId="1" fillId="0" borderId="5" xfId="2" applyFont="1" applyFill="1" applyBorder="1" applyAlignment="1">
      <alignment horizontal="left" vertical="center" wrapText="1"/>
    </xf>
    <xf numFmtId="0" fontId="1" fillId="0" borderId="4" xfId="2" applyFont="1" applyFill="1" applyBorder="1" applyAlignment="1">
      <alignment vertical="center" wrapText="1"/>
    </xf>
    <xf numFmtId="181" fontId="1" fillId="0" borderId="4" xfId="2" applyNumberFormat="1" applyFont="1" applyFill="1" applyBorder="1" applyAlignment="1">
      <alignment horizontal="right" vertical="center" wrapText="1"/>
    </xf>
    <xf numFmtId="180" fontId="1" fillId="0" borderId="11" xfId="2" applyNumberFormat="1" applyFont="1" applyFill="1" applyBorder="1" applyAlignment="1">
      <alignment horizontal="left" vertical="center" wrapText="1"/>
    </xf>
    <xf numFmtId="0" fontId="1" fillId="0" borderId="4" xfId="2" applyFont="1" applyFill="1" applyBorder="1" applyAlignment="1">
      <alignment horizontal="right" vertical="center" wrapText="1"/>
    </xf>
    <xf numFmtId="0" fontId="1" fillId="0" borderId="4" xfId="2" applyFont="1" applyFill="1" applyBorder="1" applyAlignment="1">
      <alignment horizontal="center" vertical="center" wrapText="1"/>
    </xf>
    <xf numFmtId="0" fontId="1" fillId="0" borderId="4" xfId="2" applyFont="1" applyFill="1" applyBorder="1" applyAlignment="1">
      <alignment horizontal="left" vertical="center" wrapText="1"/>
    </xf>
    <xf numFmtId="180" fontId="1" fillId="0" borderId="11" xfId="2" applyNumberFormat="1" applyFont="1" applyFill="1" applyBorder="1" applyAlignment="1">
      <alignment vertical="center" wrapText="1"/>
    </xf>
    <xf numFmtId="181" fontId="1" fillId="0" borderId="11" xfId="2" applyNumberFormat="1" applyFont="1" applyFill="1" applyBorder="1" applyAlignment="1">
      <alignment vertical="center" wrapText="1"/>
    </xf>
    <xf numFmtId="179" fontId="1" fillId="0" borderId="11" xfId="2" applyNumberFormat="1" applyFont="1" applyFill="1" applyBorder="1" applyAlignment="1">
      <alignment vertical="center" wrapText="1"/>
    </xf>
    <xf numFmtId="0" fontId="13" fillId="0" borderId="4" xfId="2" applyFont="1" applyFill="1" applyBorder="1" applyAlignment="1">
      <alignment horizontal="left" vertical="center" wrapText="1"/>
    </xf>
    <xf numFmtId="180" fontId="13" fillId="0" borderId="11" xfId="2" applyNumberFormat="1" applyFont="1" applyFill="1" applyBorder="1" applyAlignment="1">
      <alignment vertical="center" wrapText="1"/>
    </xf>
    <xf numFmtId="0" fontId="1" fillId="0" borderId="19" xfId="2" applyFont="1" applyFill="1" applyBorder="1" applyAlignment="1">
      <alignment horizontal="left" vertical="center" wrapText="1"/>
    </xf>
    <xf numFmtId="0" fontId="1" fillId="0" borderId="6" xfId="2" applyFont="1" applyFill="1" applyBorder="1" applyAlignment="1">
      <alignment vertical="center" wrapText="1"/>
    </xf>
    <xf numFmtId="0" fontId="1" fillId="0" borderId="6" xfId="2" applyFont="1" applyFill="1" applyBorder="1" applyAlignment="1">
      <alignment horizontal="left" vertical="center" wrapText="1"/>
    </xf>
    <xf numFmtId="180" fontId="1" fillId="0" borderId="18" xfId="2" applyNumberFormat="1" applyFont="1" applyFill="1" applyBorder="1" applyAlignment="1">
      <alignment vertical="center" wrapText="1"/>
    </xf>
    <xf numFmtId="0" fontId="18" fillId="2" borderId="2" xfId="0" applyFont="1" applyFill="1" applyBorder="1" applyAlignment="1">
      <alignment horizontal="center" vertical="center" wrapText="1"/>
    </xf>
    <xf numFmtId="0" fontId="18" fillId="2" borderId="3" xfId="0" applyFont="1" applyFill="1" applyBorder="1" applyAlignment="1">
      <alignment horizontal="center" vertical="center" wrapText="1"/>
    </xf>
    <xf numFmtId="0" fontId="18" fillId="2" borderId="10" xfId="0" applyFont="1" applyFill="1" applyBorder="1" applyAlignment="1">
      <alignment horizontal="center" vertical="center" wrapText="1"/>
    </xf>
    <xf numFmtId="0" fontId="19" fillId="0" borderId="5" xfId="0" applyFont="1" applyFill="1" applyBorder="1" applyAlignment="1">
      <alignment horizontal="center" vertical="center" wrapText="1"/>
    </xf>
    <xf numFmtId="0" fontId="20" fillId="0" borderId="4" xfId="0" applyFont="1" applyFill="1" applyBorder="1" applyAlignment="1">
      <alignment horizontal="center" vertical="center" wrapText="1"/>
    </xf>
    <xf numFmtId="0" fontId="20" fillId="0" borderId="4" xfId="0" applyFont="1" applyFill="1" applyBorder="1" applyAlignment="1">
      <alignment horizontal="justify" vertical="center" wrapText="1"/>
    </xf>
    <xf numFmtId="0" fontId="20" fillId="0" borderId="6" xfId="0" applyFont="1" applyFill="1" applyBorder="1" applyAlignment="1">
      <alignment horizontal="justify" vertical="center" wrapText="1"/>
    </xf>
    <xf numFmtId="0" fontId="20" fillId="0" borderId="6" xfId="0" applyFont="1" applyFill="1" applyBorder="1" applyAlignment="1">
      <alignment horizontal="center" vertical="center" wrapText="1"/>
    </xf>
    <xf numFmtId="0" fontId="24" fillId="2" borderId="4" xfId="0" applyFont="1" applyFill="1" applyBorder="1" applyAlignment="1">
      <alignment horizontal="center" vertical="center" wrapText="1"/>
    </xf>
    <xf numFmtId="0" fontId="25" fillId="0" borderId="4" xfId="0" applyFont="1" applyFill="1" applyBorder="1" applyAlignment="1">
      <alignment horizontal="center" vertical="center" wrapText="1"/>
    </xf>
    <xf numFmtId="182" fontId="25" fillId="3" borderId="4" xfId="0" applyNumberFormat="1" applyFont="1" applyFill="1" applyBorder="1" applyAlignment="1">
      <alignment horizontal="center" vertical="center" wrapText="1"/>
    </xf>
    <xf numFmtId="0" fontId="25" fillId="0" borderId="4" xfId="0" applyFont="1" applyFill="1" applyBorder="1" applyAlignment="1">
      <alignment horizontal="left" vertical="center" wrapText="1"/>
    </xf>
    <xf numFmtId="0" fontId="25" fillId="0" borderId="25" xfId="0" applyFont="1" applyFill="1" applyBorder="1" applyAlignment="1">
      <alignment horizontal="center" vertical="center" wrapText="1"/>
    </xf>
    <xf numFmtId="0" fontId="25" fillId="0" borderId="4" xfId="0" applyFont="1" applyFill="1" applyBorder="1" applyAlignment="1">
      <alignment horizontal="center" vertical="center"/>
    </xf>
    <xf numFmtId="0" fontId="26" fillId="2" borderId="4" xfId="0" applyFont="1" applyFill="1" applyBorder="1" applyAlignment="1">
      <alignment horizontal="center" vertical="center" wrapText="1"/>
    </xf>
    <xf numFmtId="0" fontId="25" fillId="2" borderId="4" xfId="0" applyFont="1" applyFill="1" applyBorder="1" applyAlignment="1">
      <alignment horizontal="center" vertical="center" wrapText="1"/>
    </xf>
    <xf numFmtId="0" fontId="4" fillId="0" borderId="5" xfId="0" applyFont="1" applyBorder="1" applyAlignment="1">
      <alignment horizontal="right" vertical="center"/>
    </xf>
    <xf numFmtId="0" fontId="1" fillId="0" borderId="5" xfId="0" applyFont="1" applyBorder="1">
      <alignment vertical="center"/>
    </xf>
    <xf numFmtId="176" fontId="4" fillId="0" borderId="4" xfId="0" applyNumberFormat="1" applyFont="1" applyBorder="1">
      <alignment vertical="center"/>
    </xf>
    <xf numFmtId="0" fontId="11" fillId="0" borderId="18" xfId="0" applyFont="1" applyBorder="1">
      <alignment vertical="center"/>
    </xf>
    <xf numFmtId="0" fontId="0" fillId="0" borderId="0" xfId="0" applyFont="1">
      <alignment vertical="center"/>
    </xf>
    <xf numFmtId="0" fontId="0" fillId="0" borderId="18" xfId="0" applyFont="1" applyBorder="1">
      <alignment vertical="center"/>
    </xf>
    <xf numFmtId="177" fontId="4" fillId="2" borderId="3" xfId="0" applyNumberFormat="1" applyFont="1" applyFill="1" applyBorder="1" applyAlignment="1">
      <alignment horizontal="center" vertical="center" wrapText="1"/>
    </xf>
    <xf numFmtId="0" fontId="7" fillId="0" borderId="5" xfId="0" applyFont="1" applyBorder="1" applyAlignment="1">
      <alignment horizontal="center" vertical="center" wrapText="1"/>
    </xf>
    <xf numFmtId="4" fontId="7" fillId="0" borderId="4" xfId="0" applyNumberFormat="1" applyFont="1" applyBorder="1" applyAlignment="1">
      <alignment horizontal="right" vertical="center" wrapText="1"/>
    </xf>
    <xf numFmtId="0" fontId="7" fillId="0" borderId="6" xfId="0" applyFont="1" applyBorder="1" applyAlignment="1">
      <alignment horizontal="left" vertical="center" wrapText="1"/>
    </xf>
    <xf numFmtId="0" fontId="7" fillId="0" borderId="18" xfId="0" applyFont="1" applyBorder="1">
      <alignment vertical="center"/>
    </xf>
    <xf numFmtId="0" fontId="4" fillId="0" borderId="13" xfId="0" applyFont="1" applyBorder="1" applyAlignment="1">
      <alignment horizontal="center" vertical="center" wrapText="1"/>
    </xf>
    <xf numFmtId="4" fontId="7" fillId="0" borderId="13" xfId="0" applyNumberFormat="1" applyFont="1" applyBorder="1" applyAlignment="1">
      <alignment horizontal="right" vertical="center" wrapText="1"/>
    </xf>
    <xf numFmtId="0" fontId="7" fillId="0" borderId="14" xfId="0" applyFont="1" applyBorder="1">
      <alignment vertical="center"/>
    </xf>
    <xf numFmtId="4" fontId="0" fillId="0" borderId="0" xfId="0" applyNumberFormat="1">
      <alignment vertical="center"/>
    </xf>
    <xf numFmtId="178" fontId="1" fillId="0" borderId="0" xfId="0" applyNumberFormat="1" applyFont="1">
      <alignment vertical="center"/>
    </xf>
    <xf numFmtId="180" fontId="1" fillId="0" borderId="11" xfId="2" applyNumberFormat="1" applyFont="1" applyFill="1" applyBorder="1" applyAlignment="1">
      <alignment vertical="center"/>
    </xf>
    <xf numFmtId="180" fontId="9" fillId="0" borderId="11" xfId="2" applyNumberFormat="1" applyFont="1" applyFill="1" applyBorder="1" applyAlignment="1">
      <alignment vertical="center"/>
    </xf>
    <xf numFmtId="0" fontId="25" fillId="0" borderId="4" xfId="0" applyFont="1" applyFill="1" applyBorder="1" applyAlignment="1">
      <alignment horizontal="center" vertical="center" wrapText="1"/>
    </xf>
    <xf numFmtId="0" fontId="25" fillId="0" borderId="4" xfId="0" applyFont="1" applyFill="1" applyBorder="1" applyAlignment="1">
      <alignment horizontal="center" vertical="center"/>
    </xf>
    <xf numFmtId="0" fontId="1" fillId="0" borderId="5" xfId="2" applyFont="1" applyFill="1" applyBorder="1" applyAlignment="1">
      <alignment horizontal="left" vertical="center" wrapText="1"/>
    </xf>
    <xf numFmtId="0" fontId="34" fillId="0" borderId="0" xfId="0" applyFont="1" applyAlignment="1">
      <alignment vertical="center" wrapText="1"/>
    </xf>
    <xf numFmtId="0" fontId="37" fillId="2" borderId="4" xfId="0" applyFont="1" applyFill="1" applyBorder="1" applyAlignment="1">
      <alignment horizontal="center" vertical="center" wrapText="1"/>
    </xf>
    <xf numFmtId="0" fontId="34" fillId="0" borderId="0" xfId="0" applyFont="1">
      <alignment vertical="center"/>
    </xf>
    <xf numFmtId="0" fontId="7" fillId="0" borderId="1" xfId="0" applyFont="1" applyBorder="1" applyAlignment="1">
      <alignment horizontal="center" vertical="center" wrapText="1"/>
    </xf>
    <xf numFmtId="0" fontId="4" fillId="0" borderId="1" xfId="0" applyFont="1" applyBorder="1" applyAlignment="1">
      <alignment horizontal="center" vertical="center" wrapText="1"/>
    </xf>
    <xf numFmtId="4" fontId="7" fillId="0" borderId="1" xfId="0" applyNumberFormat="1" applyFont="1" applyBorder="1" applyAlignment="1">
      <alignment horizontal="right" vertical="center" wrapText="1"/>
    </xf>
    <xf numFmtId="0" fontId="7" fillId="0" borderId="1" xfId="0" applyFont="1" applyBorder="1">
      <alignment vertical="center"/>
    </xf>
    <xf numFmtId="0" fontId="10" fillId="4" borderId="0" xfId="0" applyFont="1" applyFill="1" applyAlignment="1">
      <alignment vertical="center" wrapText="1"/>
    </xf>
    <xf numFmtId="0" fontId="28" fillId="0" borderId="29" xfId="0" applyFont="1" applyBorder="1" applyAlignment="1">
      <alignment horizontal="center" vertical="center" wrapText="1"/>
    </xf>
    <xf numFmtId="0" fontId="28" fillId="0" borderId="30" xfId="0" applyFont="1" applyBorder="1" applyAlignment="1">
      <alignment horizontal="center" vertical="center" wrapText="1"/>
    </xf>
    <xf numFmtId="0" fontId="28" fillId="0" borderId="31" xfId="0" applyFont="1" applyBorder="1" applyAlignment="1">
      <alignment horizontal="center" vertical="center" wrapText="1"/>
    </xf>
    <xf numFmtId="0" fontId="28" fillId="0" borderId="1" xfId="0" applyFont="1" applyBorder="1" applyAlignment="1">
      <alignment horizontal="center" vertical="center" wrapText="1"/>
    </xf>
    <xf numFmtId="0" fontId="6" fillId="0" borderId="0" xfId="0" applyFont="1" applyAlignment="1">
      <alignment vertical="center" wrapText="1"/>
    </xf>
    <xf numFmtId="0" fontId="1" fillId="0" borderId="0" xfId="0" applyFont="1" applyAlignment="1">
      <alignment horizontal="left" vertical="center"/>
    </xf>
    <xf numFmtId="0" fontId="3" fillId="0" borderId="1" xfId="0" applyFont="1" applyBorder="1" applyAlignment="1">
      <alignment horizontal="center" vertical="center"/>
    </xf>
    <xf numFmtId="0" fontId="14" fillId="0" borderId="0" xfId="0" applyFont="1" applyAlignment="1">
      <alignment horizontal="left" vertical="center" wrapText="1"/>
    </xf>
    <xf numFmtId="0" fontId="1" fillId="0" borderId="0" xfId="0" applyFont="1" applyAlignment="1">
      <alignment horizontal="left" vertical="center" wrapText="1"/>
    </xf>
    <xf numFmtId="0" fontId="27" fillId="0" borderId="0" xfId="0" applyFont="1" applyAlignment="1">
      <alignment horizontal="left" vertical="center"/>
    </xf>
    <xf numFmtId="0" fontId="22" fillId="0" borderId="25" xfId="0" applyFont="1" applyFill="1" applyBorder="1" applyAlignment="1">
      <alignment horizontal="center" vertical="center"/>
    </xf>
    <xf numFmtId="0" fontId="23" fillId="0" borderId="26" xfId="0" applyFont="1" applyFill="1" applyBorder="1" applyAlignment="1">
      <alignment horizontal="center" vertical="center"/>
    </xf>
    <xf numFmtId="0" fontId="23" fillId="0" borderId="20" xfId="0" applyFont="1" applyFill="1" applyBorder="1" applyAlignment="1">
      <alignment horizontal="center" vertical="center"/>
    </xf>
    <xf numFmtId="0" fontId="34" fillId="0" borderId="4" xfId="0" applyFont="1" applyBorder="1" applyAlignment="1">
      <alignment horizontal="left" vertical="center" wrapText="1"/>
    </xf>
    <xf numFmtId="0" fontId="0" fillId="0" borderId="4" xfId="0" applyBorder="1" applyAlignment="1">
      <alignment horizontal="left" vertical="center"/>
    </xf>
    <xf numFmtId="0" fontId="25" fillId="0" borderId="7" xfId="0" applyFont="1" applyFill="1" applyBorder="1" applyAlignment="1">
      <alignment horizontal="center" vertical="center" wrapText="1"/>
    </xf>
    <xf numFmtId="0" fontId="25" fillId="0" borderId="16" xfId="0" applyFont="1" applyFill="1" applyBorder="1" applyAlignment="1">
      <alignment horizontal="center" vertical="center" wrapText="1"/>
    </xf>
    <xf numFmtId="0" fontId="25" fillId="0" borderId="4" xfId="0" applyFont="1" applyFill="1" applyBorder="1" applyAlignment="1">
      <alignment horizontal="center" vertical="center" wrapText="1"/>
    </xf>
    <xf numFmtId="0" fontId="25" fillId="0" borderId="6" xfId="0" applyFont="1" applyFill="1" applyBorder="1" applyAlignment="1">
      <alignment horizontal="center" vertical="center"/>
    </xf>
    <xf numFmtId="0" fontId="25" fillId="0" borderId="27" xfId="0" applyFont="1" applyFill="1" applyBorder="1" applyAlignment="1">
      <alignment horizontal="center" vertical="center"/>
    </xf>
    <xf numFmtId="0" fontId="25" fillId="0" borderId="28" xfId="0" applyFont="1" applyFill="1" applyBorder="1" applyAlignment="1">
      <alignment horizontal="center" vertical="center"/>
    </xf>
    <xf numFmtId="0" fontId="25" fillId="0" borderId="4" xfId="0" applyFont="1" applyFill="1" applyBorder="1" applyAlignment="1">
      <alignment horizontal="center" vertical="center"/>
    </xf>
    <xf numFmtId="0" fontId="20" fillId="0" borderId="11" xfId="0" applyFont="1" applyFill="1" applyBorder="1" applyAlignment="1">
      <alignment horizontal="center" vertical="center" wrapText="1"/>
    </xf>
    <xf numFmtId="0" fontId="20" fillId="0" borderId="18" xfId="0" applyFont="1" applyFill="1" applyBorder="1" applyAlignment="1">
      <alignment horizontal="center" vertical="center" wrapText="1"/>
    </xf>
    <xf numFmtId="0" fontId="0" fillId="0" borderId="22" xfId="0" applyBorder="1" applyAlignment="1">
      <alignment horizontal="center" vertical="center" wrapText="1"/>
    </xf>
    <xf numFmtId="0" fontId="0" fillId="0" borderId="23" xfId="0" applyBorder="1" applyAlignment="1">
      <alignment horizontal="center" vertical="center" wrapText="1"/>
    </xf>
    <xf numFmtId="0" fontId="0" fillId="0" borderId="24" xfId="0" applyBorder="1" applyAlignment="1">
      <alignment horizontal="center" vertical="center" wrapText="1"/>
    </xf>
    <xf numFmtId="0" fontId="13" fillId="0" borderId="5" xfId="2" applyFont="1" applyFill="1" applyBorder="1" applyAlignment="1">
      <alignment horizontal="left" vertical="center" wrapText="1"/>
    </xf>
    <xf numFmtId="0" fontId="1" fillId="0" borderId="5" xfId="2" applyFont="1" applyFill="1" applyBorder="1" applyAlignment="1">
      <alignment horizontal="left" vertical="center" wrapText="1"/>
    </xf>
    <xf numFmtId="0" fontId="15" fillId="0" borderId="5" xfId="1" applyNumberFormat="1" applyFont="1" applyFill="1" applyBorder="1" applyAlignment="1" applyProtection="1">
      <alignment horizontal="left" vertical="center" wrapText="1"/>
    </xf>
    <xf numFmtId="0" fontId="1" fillId="0" borderId="5" xfId="2" applyFont="1" applyFill="1" applyBorder="1" applyAlignment="1">
      <alignment horizontal="center" vertical="center" wrapText="1"/>
    </xf>
    <xf numFmtId="0" fontId="19" fillId="0" borderId="19" xfId="0" applyFont="1" applyFill="1" applyBorder="1" applyAlignment="1">
      <alignment horizontal="center" vertical="center" wrapText="1"/>
    </xf>
    <xf numFmtId="0" fontId="19" fillId="0" borderId="21" xfId="0" applyFont="1" applyFill="1" applyBorder="1" applyAlignment="1">
      <alignment horizontal="center" vertical="center" wrapText="1"/>
    </xf>
    <xf numFmtId="0" fontId="19" fillId="0" borderId="15" xfId="0" applyFont="1" applyFill="1" applyBorder="1" applyAlignment="1">
      <alignment horizontal="center" vertical="center" wrapText="1"/>
    </xf>
    <xf numFmtId="0" fontId="3" fillId="0" borderId="6" xfId="2" applyFont="1" applyFill="1" applyBorder="1" applyAlignment="1">
      <alignment horizontal="center" vertical="center" wrapText="1"/>
    </xf>
    <xf numFmtId="180" fontId="3" fillId="0" borderId="6" xfId="2" applyNumberFormat="1" applyFont="1" applyFill="1" applyBorder="1" applyAlignment="1">
      <alignment horizontal="center" vertical="center" wrapText="1"/>
    </xf>
    <xf numFmtId="0" fontId="1" fillId="0" borderId="4" xfId="0" applyFont="1" applyBorder="1" applyAlignment="1">
      <alignment vertical="center" wrapText="1"/>
    </xf>
    <xf numFmtId="0" fontId="16" fillId="0" borderId="0" xfId="0" applyFont="1" applyFill="1" applyBorder="1" applyAlignment="1">
      <alignment horizontal="center" vertical="center" wrapText="1"/>
    </xf>
    <xf numFmtId="0" fontId="17" fillId="0" borderId="0" xfId="0" applyFont="1" applyFill="1" applyBorder="1" applyAlignment="1">
      <alignment horizontal="center" vertical="center" wrapText="1"/>
    </xf>
    <xf numFmtId="0" fontId="21" fillId="0" borderId="0" xfId="0" applyFont="1" applyFill="1" applyAlignment="1">
      <alignment horizontal="center" vertical="center" wrapText="1"/>
    </xf>
    <xf numFmtId="0" fontId="16" fillId="0" borderId="0" xfId="0" applyFont="1" applyFill="1" applyAlignment="1">
      <alignment horizontal="center" vertical="center" wrapText="1"/>
    </xf>
    <xf numFmtId="0" fontId="20" fillId="0" borderId="11" xfId="0" applyFont="1" applyFill="1" applyBorder="1" applyAlignment="1">
      <alignment horizontal="left" vertical="center" wrapText="1"/>
    </xf>
    <xf numFmtId="0" fontId="5" fillId="0" borderId="0" xfId="0" applyFont="1" applyAlignment="1">
      <alignment horizontal="left" vertical="center" wrapText="1"/>
    </xf>
    <xf numFmtId="0" fontId="6" fillId="0" borderId="4" xfId="0" applyFont="1" applyBorder="1" applyAlignment="1">
      <alignment horizontal="justify" vertical="center" wrapText="1"/>
    </xf>
    <xf numFmtId="0" fontId="6" fillId="0" borderId="4" xfId="0" applyFont="1" applyBorder="1" applyAlignment="1">
      <alignment horizontal="center" vertical="center" wrapText="1"/>
    </xf>
    <xf numFmtId="0" fontId="9" fillId="0" borderId="0" xfId="0" applyFont="1" applyAlignment="1">
      <alignment horizontal="left" vertical="center" wrapText="1"/>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3" fillId="0" borderId="8" xfId="0" applyFont="1" applyBorder="1" applyAlignment="1">
      <alignment horizontal="center" vertical="center"/>
    </xf>
    <xf numFmtId="0" fontId="3" fillId="0" borderId="9" xfId="0" applyFont="1" applyBorder="1" applyAlignment="1">
      <alignment horizontal="center" vertical="center"/>
    </xf>
    <xf numFmtId="0" fontId="12" fillId="0" borderId="16" xfId="0" applyFont="1" applyBorder="1" applyAlignment="1">
      <alignment horizontal="center" vertical="center"/>
    </xf>
    <xf numFmtId="0" fontId="12" fillId="0" borderId="0" xfId="0" applyFont="1" applyBorder="1" applyAlignment="1">
      <alignment horizontal="center" vertical="center"/>
    </xf>
    <xf numFmtId="0" fontId="12" fillId="0" borderId="17" xfId="0" applyFont="1" applyBorder="1" applyAlignment="1">
      <alignment horizontal="center" vertical="center"/>
    </xf>
    <xf numFmtId="0" fontId="8" fillId="0" borderId="4" xfId="0" applyFont="1" applyBorder="1" applyAlignment="1">
      <alignment horizontal="left" vertical="center" wrapText="1"/>
    </xf>
    <xf numFmtId="0" fontId="3" fillId="0" borderId="1" xfId="0" applyFont="1" applyBorder="1" applyAlignment="1">
      <alignment horizontal="center" vertical="center" wrapText="1"/>
    </xf>
    <xf numFmtId="0" fontId="3" fillId="0" borderId="0" xfId="0" applyFont="1" applyBorder="1" applyAlignment="1">
      <alignment horizontal="center" vertical="center" wrapText="1"/>
    </xf>
    <xf numFmtId="0" fontId="8" fillId="0" borderId="0" xfId="0" applyFont="1" applyAlignment="1">
      <alignment horizontal="left" vertical="center" wrapText="1"/>
    </xf>
  </cellXfs>
  <cellStyles count="3">
    <cellStyle name="常规" xfId="0" builtinId="0"/>
    <cellStyle name="常规 2" xfId="2"/>
    <cellStyle name="普通"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8"/>
  <sheetViews>
    <sheetView tabSelected="1" topLeftCell="A10" workbookViewId="0">
      <selection activeCell="F17" sqref="F17"/>
    </sheetView>
  </sheetViews>
  <sheetFormatPr defaultColWidth="9" defaultRowHeight="14"/>
  <cols>
    <col min="2" max="2" width="25.6328125" customWidth="1"/>
    <col min="3" max="3" width="27.36328125" customWidth="1"/>
    <col min="4" max="4" width="22.6328125" customWidth="1"/>
    <col min="5" max="5" width="11.6328125" customWidth="1"/>
  </cols>
  <sheetData>
    <row r="1" spans="1:7" ht="15" customHeight="1">
      <c r="A1" s="163" t="s">
        <v>0</v>
      </c>
      <c r="B1" s="163"/>
      <c r="C1" s="163"/>
      <c r="D1" s="163"/>
    </row>
    <row r="2" spans="1:7">
      <c r="A2" s="5" t="s">
        <v>1</v>
      </c>
      <c r="B2" s="6" t="s">
        <v>2</v>
      </c>
      <c r="C2" s="137" t="s">
        <v>3</v>
      </c>
      <c r="D2" s="61" t="s">
        <v>4</v>
      </c>
    </row>
    <row r="3" spans="1:7">
      <c r="A3" s="138" t="s">
        <v>5</v>
      </c>
      <c r="B3" s="16" t="s">
        <v>6</v>
      </c>
      <c r="C3" s="139">
        <f>硬件设备购置费!G30</f>
        <v>0</v>
      </c>
      <c r="D3" s="93"/>
    </row>
    <row r="4" spans="1:7">
      <c r="A4" s="138" t="s">
        <v>7</v>
      </c>
      <c r="B4" s="15" t="s">
        <v>9</v>
      </c>
      <c r="C4" s="139">
        <f>'定制软件开发费（功能点法）'!D26</f>
        <v>297669.27144999988</v>
      </c>
      <c r="D4" s="93"/>
      <c r="E4" s="154" t="s">
        <v>198</v>
      </c>
    </row>
    <row r="5" spans="1:7">
      <c r="A5" s="138" t="s">
        <v>8</v>
      </c>
      <c r="B5" s="140" t="s">
        <v>11</v>
      </c>
      <c r="C5" s="139">
        <f>系统集成实施费与其他费!G33</f>
        <v>17860.156286999991</v>
      </c>
      <c r="D5" s="141"/>
    </row>
    <row r="6" spans="1:7">
      <c r="A6" s="138" t="s">
        <v>199</v>
      </c>
      <c r="B6" s="140" t="s">
        <v>12</v>
      </c>
      <c r="C6" s="139">
        <f>项目建设其他费!D11</f>
        <v>0</v>
      </c>
      <c r="D6" s="141"/>
    </row>
    <row r="7" spans="1:7" ht="14.5" thickBot="1">
      <c r="A7" s="138" t="s">
        <v>10</v>
      </c>
      <c r="B7" s="142" t="s">
        <v>13</v>
      </c>
      <c r="C7" s="143">
        <f>SUM(C3:C6)</f>
        <v>315529.42773699987</v>
      </c>
      <c r="D7" s="144"/>
      <c r="E7" s="145"/>
    </row>
    <row r="8" spans="1:7" ht="14.5" thickBot="1">
      <c r="A8" s="155"/>
      <c r="B8" s="156"/>
      <c r="C8" s="157"/>
      <c r="D8" s="158"/>
      <c r="E8" s="145"/>
    </row>
    <row r="9" spans="1:7" ht="15.5" thickBot="1">
      <c r="A9" s="160" t="s">
        <v>0</v>
      </c>
      <c r="B9" s="161"/>
      <c r="C9" s="161"/>
      <c r="D9" s="162"/>
    </row>
    <row r="10" spans="1:7" s="1" customFormat="1" ht="19.899999999999999" customHeight="1">
      <c r="A10" s="5" t="s">
        <v>1</v>
      </c>
      <c r="B10" s="6" t="s">
        <v>2</v>
      </c>
      <c r="C10" s="137" t="s">
        <v>3</v>
      </c>
      <c r="D10" s="61" t="s">
        <v>4</v>
      </c>
      <c r="G10" s="146"/>
    </row>
    <row r="11" spans="1:7" s="1" customFormat="1" ht="13">
      <c r="A11" s="138" t="s">
        <v>5</v>
      </c>
      <c r="B11" s="16" t="s">
        <v>6</v>
      </c>
      <c r="C11" s="139">
        <f>硬件设备购置费!G30</f>
        <v>0</v>
      </c>
      <c r="D11" s="93"/>
    </row>
    <row r="12" spans="1:7">
      <c r="A12" s="138" t="s">
        <v>7</v>
      </c>
      <c r="B12" s="15" t="s">
        <v>9</v>
      </c>
      <c r="C12" s="139">
        <f>'定制软件开发费（功能点法） (估算）'!D26</f>
        <v>75209.259482758644</v>
      </c>
      <c r="D12" s="93"/>
      <c r="E12" s="154" t="s">
        <v>197</v>
      </c>
    </row>
    <row r="13" spans="1:7">
      <c r="A13" s="138" t="s">
        <v>8</v>
      </c>
      <c r="B13" s="140" t="s">
        <v>11</v>
      </c>
      <c r="C13" s="139">
        <f>系统集成实施费与其他费!G33</f>
        <v>17860.156286999991</v>
      </c>
      <c r="D13" s="141"/>
    </row>
    <row r="14" spans="1:7">
      <c r="A14" s="138" t="s">
        <v>199</v>
      </c>
      <c r="B14" s="140" t="s">
        <v>12</v>
      </c>
      <c r="C14" s="139">
        <f>项目建设其他费!D11</f>
        <v>0</v>
      </c>
      <c r="D14" s="141"/>
    </row>
    <row r="15" spans="1:7" ht="14.5" thickBot="1">
      <c r="A15" s="138" t="s">
        <v>10</v>
      </c>
      <c r="B15" s="142" t="s">
        <v>13</v>
      </c>
      <c r="C15" s="143">
        <f>SUM(C11:C14)</f>
        <v>93069.415769758634</v>
      </c>
      <c r="D15" s="144"/>
    </row>
    <row r="17" spans="1:4" ht="159.75" customHeight="1">
      <c r="A17" s="164" t="s">
        <v>201</v>
      </c>
      <c r="B17" s="164"/>
      <c r="C17" s="164"/>
      <c r="D17" s="164"/>
    </row>
    <row r="18" spans="1:4">
      <c r="A18" s="165"/>
      <c r="B18" s="165"/>
      <c r="C18" s="1"/>
      <c r="D18" s="1"/>
    </row>
  </sheetData>
  <mergeCells count="4">
    <mergeCell ref="A9:D9"/>
    <mergeCell ref="A1:D1"/>
    <mergeCell ref="A17:D17"/>
    <mergeCell ref="A18:B18"/>
  </mergeCells>
  <phoneticPr fontId="33" type="noConversion"/>
  <pageMargins left="0.69930555555555596" right="0.69930555555555596"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4"/>
  <sheetViews>
    <sheetView workbookViewId="0">
      <pane ySplit="2" topLeftCell="A11" activePane="bottomLeft" state="frozen"/>
      <selection pane="bottomLeft" activeCell="B31" sqref="B31"/>
    </sheetView>
  </sheetViews>
  <sheetFormatPr defaultColWidth="9" defaultRowHeight="14"/>
  <cols>
    <col min="1" max="1" width="5" customWidth="1"/>
    <col min="2" max="2" width="14.36328125" customWidth="1"/>
    <col min="3" max="3" width="12.453125" customWidth="1"/>
    <col min="4" max="4" width="5.08984375" style="83" customWidth="1"/>
    <col min="5" max="5" width="5.08984375" customWidth="1"/>
    <col min="6" max="6" width="19.36328125" style="4" customWidth="1"/>
    <col min="7" max="7" width="18.36328125" style="4" customWidth="1"/>
    <col min="8" max="8" width="34.08984375" customWidth="1"/>
  </cols>
  <sheetData>
    <row r="1" spans="1:8" ht="15">
      <c r="A1" s="166" t="s">
        <v>14</v>
      </c>
      <c r="B1" s="166"/>
      <c r="C1" s="166"/>
      <c r="D1" s="166"/>
      <c r="E1" s="166"/>
      <c r="F1" s="166"/>
      <c r="G1" s="166"/>
      <c r="H1" s="166"/>
    </row>
    <row r="2" spans="1:8" ht="27.25" customHeight="1">
      <c r="A2" s="5" t="s">
        <v>15</v>
      </c>
      <c r="B2" s="6" t="s">
        <v>16</v>
      </c>
      <c r="C2" s="6" t="s">
        <v>17</v>
      </c>
      <c r="D2" s="6" t="s">
        <v>18</v>
      </c>
      <c r="E2" s="6" t="s">
        <v>19</v>
      </c>
      <c r="F2" s="8" t="s">
        <v>20</v>
      </c>
      <c r="G2" s="8" t="s">
        <v>21</v>
      </c>
      <c r="H2" s="61" t="s">
        <v>22</v>
      </c>
    </row>
    <row r="3" spans="1:8" s="135" customFormat="1">
      <c r="A3" s="62" t="s">
        <v>5</v>
      </c>
      <c r="B3" s="63" t="s">
        <v>23</v>
      </c>
      <c r="C3" s="63"/>
      <c r="D3" s="64"/>
      <c r="E3" s="63"/>
      <c r="F3" s="30"/>
      <c r="G3" s="45"/>
      <c r="H3" s="65"/>
    </row>
    <row r="4" spans="1:8" s="135" customFormat="1">
      <c r="A4" s="62">
        <v>1.1000000000000001</v>
      </c>
      <c r="B4" s="26" t="s">
        <v>24</v>
      </c>
      <c r="C4" s="63"/>
      <c r="D4" s="64"/>
      <c r="E4" s="63"/>
      <c r="F4" s="30"/>
      <c r="G4" s="45">
        <f>E4*F4</f>
        <v>0</v>
      </c>
      <c r="H4" s="65"/>
    </row>
    <row r="5" spans="1:8" s="135" customFormat="1">
      <c r="A5" s="62">
        <v>1</v>
      </c>
      <c r="B5" s="63" t="s">
        <v>25</v>
      </c>
      <c r="C5" s="63"/>
      <c r="D5" s="64" t="s">
        <v>26</v>
      </c>
      <c r="E5" s="63">
        <v>0</v>
      </c>
      <c r="F5" s="30">
        <v>56000</v>
      </c>
      <c r="G5" s="45">
        <f>F5*E5</f>
        <v>0</v>
      </c>
      <c r="H5" s="65"/>
    </row>
    <row r="6" spans="1:8" s="135" customFormat="1">
      <c r="A6" s="62">
        <v>2</v>
      </c>
      <c r="B6" s="63" t="s">
        <v>27</v>
      </c>
      <c r="C6" s="63"/>
      <c r="D6" s="64" t="s">
        <v>28</v>
      </c>
      <c r="E6" s="63">
        <v>0</v>
      </c>
      <c r="F6" s="30">
        <v>780000</v>
      </c>
      <c r="G6" s="45">
        <f>F6*E6</f>
        <v>0</v>
      </c>
      <c r="H6" s="65"/>
    </row>
    <row r="7" spans="1:8" s="135" customFormat="1">
      <c r="A7" s="62">
        <v>3</v>
      </c>
      <c r="B7" s="63" t="s">
        <v>29</v>
      </c>
      <c r="C7" s="63"/>
      <c r="D7" s="64" t="s">
        <v>28</v>
      </c>
      <c r="E7" s="63">
        <v>0</v>
      </c>
      <c r="F7" s="30">
        <v>100000</v>
      </c>
      <c r="G7" s="45">
        <f>F7*E7</f>
        <v>0</v>
      </c>
      <c r="H7" s="65"/>
    </row>
    <row r="8" spans="1:8" s="135" customFormat="1">
      <c r="A8" s="62">
        <v>4</v>
      </c>
      <c r="B8" s="63" t="s">
        <v>30</v>
      </c>
      <c r="C8" s="63"/>
      <c r="D8" s="64"/>
      <c r="E8" s="63"/>
      <c r="F8" s="30" t="s">
        <v>31</v>
      </c>
      <c r="G8" s="45"/>
      <c r="H8" s="65"/>
    </row>
    <row r="9" spans="1:8" s="135" customFormat="1">
      <c r="A9" s="62">
        <v>5</v>
      </c>
      <c r="B9" s="63" t="s">
        <v>32</v>
      </c>
      <c r="C9" s="63"/>
      <c r="D9" s="64"/>
      <c r="E9" s="63"/>
      <c r="F9" s="30" t="s">
        <v>31</v>
      </c>
      <c r="G9" s="45"/>
      <c r="H9" s="65"/>
    </row>
    <row r="10" spans="1:8" s="135" customFormat="1">
      <c r="A10" s="68" t="s">
        <v>31</v>
      </c>
      <c r="B10" s="63"/>
      <c r="C10" s="63"/>
      <c r="D10" s="64"/>
      <c r="E10" s="63"/>
      <c r="F10" s="30" t="s">
        <v>31</v>
      </c>
      <c r="G10" s="45"/>
      <c r="H10" s="65"/>
    </row>
    <row r="11" spans="1:8" s="135" customFormat="1">
      <c r="A11" s="66">
        <v>1.2</v>
      </c>
      <c r="B11" s="26" t="s">
        <v>33</v>
      </c>
      <c r="C11" s="63"/>
      <c r="D11" s="64"/>
      <c r="E11" s="63"/>
      <c r="F11" s="30"/>
      <c r="G11" s="45"/>
      <c r="H11" s="65"/>
    </row>
    <row r="12" spans="1:8" s="135" customFormat="1">
      <c r="A12" s="62">
        <v>1</v>
      </c>
      <c r="B12" s="63" t="s">
        <v>34</v>
      </c>
      <c r="C12" s="63"/>
      <c r="D12" s="64" t="s">
        <v>35</v>
      </c>
      <c r="E12" s="63">
        <v>0</v>
      </c>
      <c r="F12" s="30">
        <v>20000</v>
      </c>
      <c r="G12" s="45">
        <f>F12*E12</f>
        <v>0</v>
      </c>
      <c r="H12" s="65"/>
    </row>
    <row r="13" spans="1:8" s="135" customFormat="1">
      <c r="A13" s="62">
        <v>2</v>
      </c>
      <c r="B13" s="63" t="s">
        <v>31</v>
      </c>
      <c r="C13" s="63"/>
      <c r="D13" s="64"/>
      <c r="E13" s="63"/>
      <c r="F13" s="30" t="s">
        <v>31</v>
      </c>
      <c r="G13" s="45"/>
      <c r="H13" s="65"/>
    </row>
    <row r="14" spans="1:8" s="135" customFormat="1">
      <c r="A14" s="62">
        <v>3</v>
      </c>
      <c r="B14" s="63" t="s">
        <v>31</v>
      </c>
      <c r="C14" s="63"/>
      <c r="D14" s="64"/>
      <c r="E14" s="63"/>
      <c r="F14" s="30" t="s">
        <v>31</v>
      </c>
      <c r="G14" s="45"/>
      <c r="H14" s="65"/>
    </row>
    <row r="15" spans="1:8" s="135" customFormat="1">
      <c r="A15" s="66" t="s">
        <v>31</v>
      </c>
      <c r="B15" s="63" t="s">
        <v>31</v>
      </c>
      <c r="C15" s="63"/>
      <c r="D15" s="64"/>
      <c r="E15" s="63"/>
      <c r="F15" s="30" t="s">
        <v>31</v>
      </c>
      <c r="G15" s="45"/>
      <c r="H15" s="65"/>
    </row>
    <row r="16" spans="1:8" s="135" customFormat="1">
      <c r="A16" s="66" t="s">
        <v>36</v>
      </c>
      <c r="B16" s="63" t="s">
        <v>31</v>
      </c>
      <c r="C16" s="63"/>
      <c r="D16" s="64"/>
      <c r="E16" s="63"/>
      <c r="F16" s="30" t="s">
        <v>31</v>
      </c>
      <c r="G16" s="45"/>
      <c r="H16" s="65"/>
    </row>
    <row r="17" spans="1:8" s="21" customFormat="1">
      <c r="A17" s="69"/>
      <c r="B17" s="70" t="s">
        <v>37</v>
      </c>
      <c r="C17" s="71"/>
      <c r="D17" s="70"/>
      <c r="E17" s="71"/>
      <c r="F17" s="72">
        <f>SUM(F4:F16)</f>
        <v>956000</v>
      </c>
      <c r="G17" s="72">
        <f>SUM(G4:G16)</f>
        <v>0</v>
      </c>
      <c r="H17" s="73"/>
    </row>
    <row r="18" spans="1:8" s="135" customFormat="1">
      <c r="A18" s="62" t="s">
        <v>7</v>
      </c>
      <c r="B18" s="63" t="s">
        <v>23</v>
      </c>
      <c r="C18" s="63"/>
      <c r="D18" s="64"/>
      <c r="E18" s="63"/>
      <c r="F18" s="30"/>
      <c r="G18" s="45"/>
      <c r="H18" s="65"/>
    </row>
    <row r="19" spans="1:8" s="135" customFormat="1">
      <c r="A19" s="66" t="s">
        <v>36</v>
      </c>
      <c r="B19" s="63"/>
      <c r="C19" s="63"/>
      <c r="D19" s="64"/>
      <c r="E19" s="63"/>
      <c r="F19" s="30"/>
      <c r="G19" s="45"/>
      <c r="H19" s="65"/>
    </row>
    <row r="20" spans="1:8" s="135" customFormat="1">
      <c r="A20" s="66" t="s">
        <v>31</v>
      </c>
      <c r="B20" s="63"/>
      <c r="C20" s="63"/>
      <c r="D20" s="64"/>
      <c r="E20" s="63"/>
      <c r="F20" s="30"/>
      <c r="G20" s="45"/>
      <c r="H20" s="136"/>
    </row>
    <row r="21" spans="1:8" s="135" customFormat="1">
      <c r="A21" s="66"/>
      <c r="B21" s="63"/>
      <c r="C21" s="63"/>
      <c r="D21" s="64"/>
      <c r="E21" s="63"/>
      <c r="F21" s="30"/>
      <c r="G21" s="45"/>
      <c r="H21" s="136"/>
    </row>
    <row r="22" spans="1:8" s="21" customFormat="1">
      <c r="A22" s="131"/>
      <c r="B22" s="70"/>
      <c r="C22" s="71"/>
      <c r="D22" s="70"/>
      <c r="E22" s="71"/>
      <c r="F22" s="72"/>
      <c r="G22" s="133"/>
      <c r="H22" s="134"/>
    </row>
    <row r="23" spans="1:8" s="1" customFormat="1" ht="13">
      <c r="A23" s="132"/>
      <c r="B23" s="74"/>
      <c r="C23" s="67"/>
      <c r="D23" s="75"/>
      <c r="E23" s="67"/>
      <c r="F23" s="76"/>
      <c r="G23" s="76"/>
      <c r="H23" s="77"/>
    </row>
    <row r="24" spans="1:8" s="135" customFormat="1">
      <c r="A24" s="62"/>
      <c r="B24" s="67"/>
      <c r="C24" s="67"/>
      <c r="D24" s="75"/>
      <c r="E24" s="67"/>
      <c r="F24" s="30"/>
      <c r="G24" s="76"/>
      <c r="H24" s="65"/>
    </row>
    <row r="25" spans="1:8" s="1" customFormat="1">
      <c r="A25" s="62"/>
      <c r="B25" s="67"/>
      <c r="C25" s="67"/>
      <c r="D25" s="75"/>
      <c r="E25" s="67"/>
      <c r="F25" s="30"/>
      <c r="G25" s="76"/>
      <c r="H25" s="65"/>
    </row>
    <row r="26" spans="1:8" s="135" customFormat="1">
      <c r="A26" s="62"/>
      <c r="B26" s="67"/>
      <c r="C26" s="67"/>
      <c r="D26" s="75"/>
      <c r="E26" s="67"/>
      <c r="F26" s="76"/>
      <c r="G26" s="76"/>
      <c r="H26" s="65"/>
    </row>
    <row r="27" spans="1:8" s="135" customFormat="1">
      <c r="A27" s="66"/>
      <c r="B27" s="67"/>
      <c r="C27" s="67"/>
      <c r="D27" s="75"/>
      <c r="E27" s="67"/>
      <c r="F27" s="76"/>
      <c r="G27" s="76"/>
      <c r="H27" s="65"/>
    </row>
    <row r="28" spans="1:8" s="135" customFormat="1">
      <c r="A28" s="66"/>
      <c r="B28" s="67"/>
      <c r="C28" s="67"/>
      <c r="D28" s="75"/>
      <c r="E28" s="67"/>
      <c r="F28" s="76"/>
      <c r="G28" s="76"/>
      <c r="H28" s="65"/>
    </row>
    <row r="29" spans="1:8" s="135" customFormat="1">
      <c r="A29" s="66"/>
      <c r="B29" s="75"/>
      <c r="C29" s="67"/>
      <c r="D29" s="75"/>
      <c r="E29" s="67"/>
      <c r="F29" s="76"/>
      <c r="G29" s="76"/>
      <c r="H29" s="65"/>
    </row>
    <row r="30" spans="1:8" s="135" customFormat="1">
      <c r="A30" s="78"/>
      <c r="B30" s="79" t="s">
        <v>13</v>
      </c>
      <c r="C30" s="80"/>
      <c r="D30" s="79"/>
      <c r="E30" s="80"/>
      <c r="F30" s="81"/>
      <c r="G30" s="81">
        <f>G29+G22+G17</f>
        <v>0</v>
      </c>
      <c r="H30" s="82" t="s">
        <v>40</v>
      </c>
    </row>
    <row r="32" spans="1:8" s="1" customFormat="1" ht="67" customHeight="1">
      <c r="A32" s="167" t="s">
        <v>41</v>
      </c>
      <c r="B32" s="167"/>
      <c r="C32" s="167"/>
      <c r="D32" s="167"/>
      <c r="E32" s="167"/>
      <c r="F32" s="167"/>
      <c r="G32" s="167"/>
      <c r="H32" s="167"/>
    </row>
    <row r="33" spans="1:8" s="1" customFormat="1" ht="18" customHeight="1">
      <c r="A33" s="168" t="s">
        <v>42</v>
      </c>
      <c r="B33" s="168"/>
      <c r="C33" s="168"/>
      <c r="D33" s="168"/>
      <c r="E33" s="168"/>
      <c r="F33" s="168"/>
      <c r="G33" s="168"/>
      <c r="H33" s="168"/>
    </row>
    <row r="34" spans="1:8">
      <c r="B34" s="169"/>
      <c r="C34" s="169"/>
      <c r="D34" s="169"/>
      <c r="E34" s="169"/>
      <c r="F34" s="169"/>
    </row>
  </sheetData>
  <mergeCells count="4">
    <mergeCell ref="A1:H1"/>
    <mergeCell ref="A32:H32"/>
    <mergeCell ref="A33:H33"/>
    <mergeCell ref="B34:F34"/>
  </mergeCells>
  <phoneticPr fontId="33" type="noConversion"/>
  <pageMargins left="0.69930555555555596" right="0.69930555555555596"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I21"/>
  <sheetViews>
    <sheetView workbookViewId="0">
      <selection activeCell="F14" sqref="F14"/>
    </sheetView>
  </sheetViews>
  <sheetFormatPr defaultColWidth="9" defaultRowHeight="14"/>
  <cols>
    <col min="1" max="1" width="13.453125" customWidth="1"/>
    <col min="2" max="2" width="19.26953125" customWidth="1"/>
    <col min="3" max="3" width="20.90625" customWidth="1"/>
    <col min="4" max="4" width="24.6328125" customWidth="1"/>
    <col min="5" max="5" width="19.08984375" customWidth="1"/>
    <col min="6" max="6" width="20.08984375" customWidth="1"/>
    <col min="8" max="8" width="18.90625" customWidth="1"/>
  </cols>
  <sheetData>
    <row r="1" spans="1:9" ht="15">
      <c r="A1" s="170" t="s">
        <v>43</v>
      </c>
      <c r="B1" s="171"/>
      <c r="C1" s="171"/>
      <c r="D1" s="171"/>
      <c r="E1" s="171"/>
      <c r="F1" s="171"/>
      <c r="G1" s="171"/>
      <c r="H1" s="172"/>
    </row>
    <row r="2" spans="1:9" s="21" customFormat="1" ht="40.5">
      <c r="A2" s="123" t="s">
        <v>44</v>
      </c>
      <c r="B2" s="123" t="s">
        <v>45</v>
      </c>
      <c r="C2" s="123" t="s">
        <v>46</v>
      </c>
      <c r="D2" s="123" t="s">
        <v>47</v>
      </c>
      <c r="E2" s="123" t="s">
        <v>48</v>
      </c>
      <c r="F2" s="123" t="s">
        <v>192</v>
      </c>
      <c r="G2" s="123" t="s">
        <v>49</v>
      </c>
      <c r="H2" s="153" t="s">
        <v>193</v>
      </c>
      <c r="I2" s="21" t="s">
        <v>191</v>
      </c>
    </row>
    <row r="3" spans="1:9">
      <c r="A3" s="124">
        <v>1</v>
      </c>
      <c r="B3" s="175" t="s">
        <v>50</v>
      </c>
      <c r="C3" s="178" t="s">
        <v>51</v>
      </c>
      <c r="D3" s="124" t="s">
        <v>51</v>
      </c>
      <c r="E3" s="124" t="s">
        <v>52</v>
      </c>
      <c r="F3" s="125">
        <f>IF("ILF"=E3,35, IF("EIF"=E3, 15,0) )</f>
        <v>35</v>
      </c>
      <c r="G3" s="124" t="s">
        <v>53</v>
      </c>
      <c r="H3" s="126">
        <f>ROUND(IF(G3="高",1/3,IF(G3="中",2/3,1)) *F3,2)</f>
        <v>23.33</v>
      </c>
    </row>
    <row r="4" spans="1:9">
      <c r="A4" s="124">
        <v>2</v>
      </c>
      <c r="B4" s="176"/>
      <c r="C4" s="179"/>
      <c r="D4" s="124" t="s">
        <v>54</v>
      </c>
      <c r="E4" s="124" t="s">
        <v>52</v>
      </c>
      <c r="F4" s="125">
        <f t="shared" ref="F4:F19" si="0">IF("ILF"=E4,35, IF("EIF"=E4, 15,0) )</f>
        <v>35</v>
      </c>
      <c r="G4" s="124" t="s">
        <v>195</v>
      </c>
      <c r="H4" s="126">
        <f t="shared" ref="H4:H19" si="1">ROUND(IF(G4="高",1/3,IF(G4="中",2/3,1)) *F4,2)</f>
        <v>11.67</v>
      </c>
    </row>
    <row r="5" spans="1:9">
      <c r="A5" s="124">
        <v>3</v>
      </c>
      <c r="B5" s="176"/>
      <c r="C5" s="179"/>
      <c r="D5" s="124" t="s">
        <v>55</v>
      </c>
      <c r="E5" s="124" t="s">
        <v>56</v>
      </c>
      <c r="F5" s="125">
        <f t="shared" si="0"/>
        <v>15</v>
      </c>
      <c r="G5" s="124" t="s">
        <v>194</v>
      </c>
      <c r="H5" s="126">
        <f t="shared" si="1"/>
        <v>15</v>
      </c>
    </row>
    <row r="6" spans="1:9">
      <c r="A6" s="124">
        <v>4</v>
      </c>
      <c r="B6" s="176"/>
      <c r="C6" s="179"/>
      <c r="D6" s="124" t="s">
        <v>57</v>
      </c>
      <c r="E6" s="124" t="s">
        <v>56</v>
      </c>
      <c r="F6" s="125">
        <f t="shared" si="0"/>
        <v>15</v>
      </c>
      <c r="G6" s="124" t="s">
        <v>53</v>
      </c>
      <c r="H6" s="126">
        <f t="shared" si="1"/>
        <v>10</v>
      </c>
    </row>
    <row r="7" spans="1:9">
      <c r="A7" s="127">
        <v>5</v>
      </c>
      <c r="B7" s="176"/>
      <c r="C7" s="180"/>
      <c r="D7" s="124" t="s">
        <v>58</v>
      </c>
      <c r="E7" s="124"/>
      <c r="F7" s="125">
        <f t="shared" si="0"/>
        <v>0</v>
      </c>
      <c r="G7" s="124"/>
      <c r="H7" s="126">
        <f t="shared" si="1"/>
        <v>0</v>
      </c>
    </row>
    <row r="8" spans="1:9">
      <c r="A8" s="127" t="s">
        <v>59</v>
      </c>
      <c r="B8" s="177" t="s">
        <v>60</v>
      </c>
      <c r="C8" s="181" t="s">
        <v>61</v>
      </c>
      <c r="D8" s="128" t="s">
        <v>62</v>
      </c>
      <c r="E8" s="124" t="s">
        <v>52</v>
      </c>
      <c r="F8" s="125">
        <f t="shared" si="0"/>
        <v>35</v>
      </c>
      <c r="G8" s="124" t="s">
        <v>53</v>
      </c>
      <c r="H8" s="126">
        <f t="shared" si="1"/>
        <v>23.33</v>
      </c>
    </row>
    <row r="9" spans="1:9">
      <c r="A9" s="127"/>
      <c r="B9" s="177"/>
      <c r="C9" s="181"/>
      <c r="D9" s="128" t="s">
        <v>63</v>
      </c>
      <c r="E9" s="124" t="s">
        <v>52</v>
      </c>
      <c r="F9" s="125">
        <f t="shared" si="0"/>
        <v>35</v>
      </c>
      <c r="G9" s="124" t="s">
        <v>53</v>
      </c>
      <c r="H9" s="126">
        <f t="shared" si="1"/>
        <v>23.33</v>
      </c>
    </row>
    <row r="10" spans="1:9">
      <c r="A10" s="127"/>
      <c r="B10" s="177"/>
      <c r="C10" s="181"/>
      <c r="D10" s="128" t="s">
        <v>64</v>
      </c>
      <c r="E10" s="124" t="s">
        <v>56</v>
      </c>
      <c r="F10" s="125">
        <f t="shared" si="0"/>
        <v>15</v>
      </c>
      <c r="G10" s="124" t="s">
        <v>53</v>
      </c>
      <c r="H10" s="126">
        <f t="shared" si="1"/>
        <v>10</v>
      </c>
    </row>
    <row r="11" spans="1:9">
      <c r="A11" s="127"/>
      <c r="B11" s="177"/>
      <c r="C11" s="177" t="s">
        <v>65</v>
      </c>
      <c r="D11" s="124" t="s">
        <v>58</v>
      </c>
      <c r="E11" s="124" t="s">
        <v>52</v>
      </c>
      <c r="F11" s="125">
        <f t="shared" si="0"/>
        <v>35</v>
      </c>
      <c r="G11" s="124" t="s">
        <v>53</v>
      </c>
      <c r="H11" s="126">
        <f t="shared" si="1"/>
        <v>23.33</v>
      </c>
    </row>
    <row r="12" spans="1:9">
      <c r="A12" s="127"/>
      <c r="B12" s="177"/>
      <c r="C12" s="177"/>
      <c r="D12" s="124" t="s">
        <v>59</v>
      </c>
      <c r="E12" s="124"/>
      <c r="F12" s="125">
        <f t="shared" si="0"/>
        <v>0</v>
      </c>
      <c r="G12" s="124" t="s">
        <v>53</v>
      </c>
      <c r="H12" s="126">
        <f t="shared" si="1"/>
        <v>0</v>
      </c>
    </row>
    <row r="13" spans="1:9">
      <c r="A13" s="127"/>
      <c r="B13" s="177"/>
      <c r="C13" s="177" t="s">
        <v>66</v>
      </c>
      <c r="D13" s="124" t="s">
        <v>58</v>
      </c>
      <c r="E13" s="124" t="s">
        <v>52</v>
      </c>
      <c r="F13" s="125">
        <f t="shared" si="0"/>
        <v>35</v>
      </c>
      <c r="G13" s="124" t="s">
        <v>53</v>
      </c>
      <c r="H13" s="126">
        <f t="shared" si="1"/>
        <v>23.33</v>
      </c>
    </row>
    <row r="14" spans="1:9">
      <c r="A14" s="127"/>
      <c r="B14" s="177"/>
      <c r="C14" s="177"/>
      <c r="D14" s="124" t="s">
        <v>59</v>
      </c>
      <c r="E14" s="124"/>
      <c r="F14" s="125">
        <f t="shared" si="0"/>
        <v>0</v>
      </c>
      <c r="G14" s="124" t="s">
        <v>53</v>
      </c>
      <c r="H14" s="126">
        <f t="shared" si="1"/>
        <v>0</v>
      </c>
    </row>
    <row r="15" spans="1:9">
      <c r="A15" s="127"/>
      <c r="B15" s="124"/>
      <c r="C15" s="177" t="s">
        <v>67</v>
      </c>
      <c r="D15" s="124" t="s">
        <v>58</v>
      </c>
      <c r="E15" s="124" t="s">
        <v>52</v>
      </c>
      <c r="F15" s="125">
        <f t="shared" si="0"/>
        <v>35</v>
      </c>
      <c r="G15" s="124" t="s">
        <v>53</v>
      </c>
      <c r="H15" s="126">
        <f t="shared" si="1"/>
        <v>23.33</v>
      </c>
    </row>
    <row r="16" spans="1:9">
      <c r="A16" s="127"/>
      <c r="B16" s="124"/>
      <c r="C16" s="177"/>
      <c r="D16" s="124" t="s">
        <v>59</v>
      </c>
      <c r="E16" s="124"/>
      <c r="F16" s="125">
        <f t="shared" si="0"/>
        <v>0</v>
      </c>
      <c r="G16" s="124" t="s">
        <v>53</v>
      </c>
      <c r="H16" s="126">
        <f t="shared" si="1"/>
        <v>0</v>
      </c>
    </row>
    <row r="17" spans="1:8">
      <c r="A17" s="127"/>
      <c r="B17" s="124"/>
      <c r="C17" s="177" t="s">
        <v>68</v>
      </c>
      <c r="D17" s="124" t="s">
        <v>58</v>
      </c>
      <c r="E17" s="124" t="s">
        <v>56</v>
      </c>
      <c r="F17" s="125">
        <f t="shared" si="0"/>
        <v>15</v>
      </c>
      <c r="G17" s="124" t="s">
        <v>53</v>
      </c>
      <c r="H17" s="126">
        <f t="shared" si="1"/>
        <v>10</v>
      </c>
    </row>
    <row r="18" spans="1:8">
      <c r="A18" s="127"/>
      <c r="B18" s="124"/>
      <c r="C18" s="177"/>
      <c r="D18" s="124" t="s">
        <v>59</v>
      </c>
      <c r="E18" s="124" t="s">
        <v>52</v>
      </c>
      <c r="F18" s="125">
        <f t="shared" si="0"/>
        <v>35</v>
      </c>
      <c r="G18" s="124" t="s">
        <v>53</v>
      </c>
      <c r="H18" s="126">
        <f t="shared" si="1"/>
        <v>23.33</v>
      </c>
    </row>
    <row r="19" spans="1:8" ht="18" customHeight="1">
      <c r="A19" s="124" t="s">
        <v>59</v>
      </c>
      <c r="B19" s="124" t="s">
        <v>59</v>
      </c>
      <c r="C19" s="127" t="s">
        <v>71</v>
      </c>
      <c r="D19" s="124"/>
      <c r="E19" s="124" t="s">
        <v>52</v>
      </c>
      <c r="F19" s="125">
        <f t="shared" si="0"/>
        <v>35</v>
      </c>
      <c r="G19" s="124" t="s">
        <v>53</v>
      </c>
      <c r="H19" s="126">
        <f t="shared" si="1"/>
        <v>23.33</v>
      </c>
    </row>
    <row r="20" spans="1:8">
      <c r="A20" s="129" t="s">
        <v>13</v>
      </c>
      <c r="B20" s="129"/>
      <c r="C20" s="129"/>
      <c r="D20" s="129"/>
      <c r="E20" s="129"/>
      <c r="F20" s="130">
        <f>SUM(F3:F19)</f>
        <v>375</v>
      </c>
      <c r="G20" s="130"/>
      <c r="H20" s="130">
        <f t="shared" ref="H20" si="2">SUM(H3:H19)</f>
        <v>243.30999999999995</v>
      </c>
    </row>
    <row r="21" spans="1:8" ht="53" customHeight="1">
      <c r="A21" s="173" t="s">
        <v>188</v>
      </c>
      <c r="B21" s="174"/>
      <c r="C21" s="174"/>
      <c r="D21" s="174"/>
      <c r="E21" s="174"/>
      <c r="F21" s="174"/>
      <c r="G21" s="174"/>
      <c r="H21" s="174"/>
    </row>
  </sheetData>
  <mergeCells count="10">
    <mergeCell ref="A1:H1"/>
    <mergeCell ref="A21:H21"/>
    <mergeCell ref="B3:B7"/>
    <mergeCell ref="B8:B14"/>
    <mergeCell ref="C3:C7"/>
    <mergeCell ref="C8:C10"/>
    <mergeCell ref="C11:C12"/>
    <mergeCell ref="C13:C14"/>
    <mergeCell ref="C15:C16"/>
    <mergeCell ref="C17:C18"/>
  </mergeCells>
  <phoneticPr fontId="33" type="noConversion"/>
  <dataValidations count="2">
    <dataValidation type="list" allowBlank="1" showInputMessage="1" showErrorMessage="1" sqref="E3:E19">
      <formula1>"ILF,EIF,EI,EO,EQ"</formula1>
    </dataValidation>
    <dataValidation type="list" allowBlank="1" showInputMessage="1" showErrorMessage="1" sqref="G3:G19">
      <formula1>"高,中,低"</formula1>
    </dataValidation>
  </dataValidations>
  <pageMargins left="0.75" right="0.75" top="1" bottom="1" header="0.5" footer="0.5"/>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9"/>
  <sheetViews>
    <sheetView topLeftCell="A13" workbookViewId="0">
      <selection activeCell="E18" sqref="E18"/>
    </sheetView>
  </sheetViews>
  <sheetFormatPr defaultColWidth="9" defaultRowHeight="14"/>
  <cols>
    <col min="1" max="1" width="38" style="94" customWidth="1"/>
    <col min="2" max="2" width="26" style="94" customWidth="1"/>
    <col min="3" max="3" width="23" style="94" customWidth="1"/>
    <col min="4" max="4" width="24.81640625" style="94" customWidth="1"/>
    <col min="5" max="5" width="40.54296875" style="94" customWidth="1"/>
    <col min="6" max="16384" width="9" style="94"/>
  </cols>
  <sheetData>
    <row r="1" spans="1:5" ht="15">
      <c r="A1" s="194" t="s">
        <v>72</v>
      </c>
      <c r="B1" s="194"/>
      <c r="C1" s="194"/>
      <c r="D1" s="195"/>
    </row>
    <row r="2" spans="1:5" ht="22.5" customHeight="1">
      <c r="A2" s="95" t="s">
        <v>73</v>
      </c>
      <c r="B2" s="96"/>
      <c r="C2" s="97">
        <f>'定制软件开发功能点明细表(预估）'!F20</f>
        <v>375</v>
      </c>
      <c r="D2" s="98"/>
    </row>
    <row r="3" spans="1:5">
      <c r="A3" s="99" t="s">
        <v>74</v>
      </c>
      <c r="B3" s="100"/>
      <c r="C3" s="101">
        <f>'定制软件开发功能点明细表(预估）'!H20</f>
        <v>243.30999999999995</v>
      </c>
      <c r="D3" s="102"/>
    </row>
    <row r="4" spans="1:5" ht="73.5" customHeight="1">
      <c r="A4" s="99" t="s">
        <v>75</v>
      </c>
      <c r="B4" s="100">
        <v>1.39</v>
      </c>
      <c r="C4" s="103"/>
      <c r="D4" s="102" t="s">
        <v>189</v>
      </c>
      <c r="E4" s="159" t="s">
        <v>200</v>
      </c>
    </row>
    <row r="5" spans="1:5" ht="26">
      <c r="A5" s="187" t="s">
        <v>76</v>
      </c>
      <c r="B5" s="100" t="s">
        <v>77</v>
      </c>
      <c r="C5" s="101">
        <f>C2*B4</f>
        <v>521.25</v>
      </c>
      <c r="D5" s="102"/>
    </row>
    <row r="6" spans="1:5" ht="26">
      <c r="A6" s="187"/>
      <c r="B6" s="100" t="s">
        <v>78</v>
      </c>
      <c r="C6" s="101">
        <f>C3*B4</f>
        <v>338.20089999999988</v>
      </c>
      <c r="D6" s="102"/>
    </row>
    <row r="7" spans="1:5">
      <c r="A7" s="188" t="s">
        <v>79</v>
      </c>
      <c r="B7" s="104"/>
      <c r="C7" s="105" t="s">
        <v>80</v>
      </c>
      <c r="D7" s="147">
        <v>3.99</v>
      </c>
    </row>
    <row r="8" spans="1:5" ht="28">
      <c r="A8" s="188"/>
      <c r="B8" s="104"/>
      <c r="C8" s="105" t="s">
        <v>81</v>
      </c>
      <c r="D8" s="147">
        <v>7.19</v>
      </c>
      <c r="E8" s="152" t="s">
        <v>190</v>
      </c>
    </row>
    <row r="9" spans="1:5">
      <c r="A9" s="188"/>
      <c r="B9" s="104"/>
      <c r="C9" s="105" t="s">
        <v>82</v>
      </c>
      <c r="D9" s="147">
        <v>12.48</v>
      </c>
    </row>
    <row r="10" spans="1:5">
      <c r="A10" s="187" t="s">
        <v>83</v>
      </c>
      <c r="B10" s="100"/>
      <c r="C10" s="105" t="s">
        <v>80</v>
      </c>
      <c r="D10" s="107">
        <f>D7*C6</f>
        <v>1349.4215909999996</v>
      </c>
    </row>
    <row r="11" spans="1:5">
      <c r="A11" s="189"/>
      <c r="B11" s="100"/>
      <c r="C11" s="105" t="s">
        <v>81</v>
      </c>
      <c r="D11" s="107">
        <f>D8*C6</f>
        <v>2431.6644709999991</v>
      </c>
    </row>
    <row r="12" spans="1:5">
      <c r="A12" s="189"/>
      <c r="B12" s="100"/>
      <c r="C12" s="105" t="s">
        <v>82</v>
      </c>
      <c r="D12" s="107">
        <f>D9*C6</f>
        <v>4220.7472319999988</v>
      </c>
    </row>
    <row r="13" spans="1:5">
      <c r="A13" s="190" t="s">
        <v>84</v>
      </c>
      <c r="B13" s="100"/>
      <c r="C13" s="105" t="s">
        <v>85</v>
      </c>
      <c r="D13" s="108">
        <v>1</v>
      </c>
    </row>
    <row r="14" spans="1:5">
      <c r="A14" s="190"/>
      <c r="B14" s="100"/>
      <c r="C14" s="105" t="s">
        <v>86</v>
      </c>
      <c r="D14" s="108">
        <v>1</v>
      </c>
    </row>
    <row r="15" spans="1:5">
      <c r="A15" s="187" t="s">
        <v>87</v>
      </c>
      <c r="B15" s="100"/>
      <c r="C15" s="105" t="s">
        <v>80</v>
      </c>
      <c r="D15" s="106">
        <f>D10*D13*D14</f>
        <v>1349.4215909999996</v>
      </c>
    </row>
    <row r="16" spans="1:5">
      <c r="A16" s="189"/>
      <c r="B16" s="100"/>
      <c r="C16" s="105" t="s">
        <v>81</v>
      </c>
      <c r="D16" s="106">
        <f>D11*D13*D14</f>
        <v>2431.6644709999991</v>
      </c>
    </row>
    <row r="17" spans="1:5">
      <c r="A17" s="189"/>
      <c r="B17" s="100"/>
      <c r="C17" s="105" t="s">
        <v>82</v>
      </c>
      <c r="D17" s="106">
        <f>D12*D13*D14</f>
        <v>4220.7472319999988</v>
      </c>
    </row>
    <row r="18" spans="1:5" ht="23" customHeight="1">
      <c r="A18" s="99" t="s">
        <v>88</v>
      </c>
      <c r="B18" s="104"/>
      <c r="C18" s="105"/>
      <c r="D18" s="106">
        <v>174</v>
      </c>
    </row>
    <row r="19" spans="1:5" ht="26" customHeight="1">
      <c r="A19" s="99" t="s">
        <v>89</v>
      </c>
      <c r="B19" s="104"/>
      <c r="C19" s="105"/>
      <c r="D19" s="148">
        <v>21300</v>
      </c>
    </row>
    <row r="20" spans="1:5">
      <c r="A20" s="187" t="s">
        <v>90</v>
      </c>
      <c r="B20" s="100"/>
      <c r="C20" s="105" t="s">
        <v>80</v>
      </c>
      <c r="D20" s="106">
        <f>1.277*POWER(D15/8/22,0.404)</f>
        <v>2.9079265451435958</v>
      </c>
    </row>
    <row r="21" spans="1:5">
      <c r="A21" s="189"/>
      <c r="B21" s="100"/>
      <c r="C21" s="105" t="s">
        <v>81</v>
      </c>
      <c r="D21" s="106">
        <f t="shared" ref="D21:D22" si="0">1.277*POWER(D16/8/22,0.404)</f>
        <v>3.6890016868113968</v>
      </c>
    </row>
    <row r="22" spans="1:5">
      <c r="A22" s="189"/>
      <c r="B22" s="100"/>
      <c r="C22" s="105" t="s">
        <v>82</v>
      </c>
      <c r="D22" s="106">
        <f t="shared" si="0"/>
        <v>4.6095770063070312</v>
      </c>
    </row>
    <row r="23" spans="1:5">
      <c r="A23" s="187" t="s">
        <v>91</v>
      </c>
      <c r="B23" s="100"/>
      <c r="C23" s="105" t="s">
        <v>80</v>
      </c>
      <c r="D23" s="106">
        <f>D15/D18*D19</f>
        <v>165187.81544999994</v>
      </c>
    </row>
    <row r="24" spans="1:5">
      <c r="A24" s="189"/>
      <c r="B24" s="100"/>
      <c r="C24" s="105" t="s">
        <v>81</v>
      </c>
      <c r="D24" s="106">
        <f>D16/D18*D19</f>
        <v>297669.27144999988</v>
      </c>
    </row>
    <row r="25" spans="1:5">
      <c r="A25" s="189"/>
      <c r="B25" s="100"/>
      <c r="C25" s="105" t="s">
        <v>82</v>
      </c>
      <c r="D25" s="106">
        <f>D17/D18*D19</f>
        <v>516677.67839999986</v>
      </c>
    </row>
    <row r="26" spans="1:5" ht="17" customHeight="1">
      <c r="A26" s="99"/>
      <c r="B26" s="100"/>
      <c r="C26" s="109" t="s">
        <v>92</v>
      </c>
      <c r="D26" s="110">
        <f>D24</f>
        <v>297669.27144999988</v>
      </c>
    </row>
    <row r="27" spans="1:5">
      <c r="A27" s="111" t="s">
        <v>93</v>
      </c>
      <c r="B27" s="112"/>
      <c r="C27" s="113" t="s">
        <v>94</v>
      </c>
      <c r="D27" s="114">
        <f>D26/C6</f>
        <v>880.15517241379303</v>
      </c>
    </row>
    <row r="28" spans="1:5" ht="58" customHeight="1">
      <c r="A28" s="196" t="s">
        <v>95</v>
      </c>
      <c r="B28" s="196"/>
      <c r="C28" s="196"/>
      <c r="D28" s="196"/>
    </row>
    <row r="29" spans="1:5" ht="23" customHeight="1">
      <c r="A29" s="197" t="s">
        <v>96</v>
      </c>
      <c r="B29" s="198"/>
      <c r="C29" s="198"/>
      <c r="D29" s="198"/>
      <c r="E29" s="198"/>
    </row>
    <row r="30" spans="1:5">
      <c r="A30" s="115" t="s">
        <v>97</v>
      </c>
      <c r="B30" s="116" t="s">
        <v>98</v>
      </c>
      <c r="C30" s="116" t="s">
        <v>99</v>
      </c>
      <c r="D30" s="116" t="s">
        <v>100</v>
      </c>
      <c r="E30" s="117" t="s">
        <v>4</v>
      </c>
    </row>
    <row r="31" spans="1:5" ht="40.5">
      <c r="A31" s="118" t="s">
        <v>101</v>
      </c>
      <c r="B31" s="119" t="s">
        <v>179</v>
      </c>
      <c r="C31" s="119">
        <v>1</v>
      </c>
      <c r="D31" s="119">
        <v>1</v>
      </c>
      <c r="E31" s="201"/>
    </row>
    <row r="32" spans="1:5" ht="40.5">
      <c r="A32" s="118" t="s">
        <v>180</v>
      </c>
      <c r="B32" s="119" t="s">
        <v>181</v>
      </c>
      <c r="C32" s="119">
        <v>1.2</v>
      </c>
      <c r="D32" s="119"/>
      <c r="E32" s="201"/>
    </row>
    <row r="33" spans="1:5" ht="40.5">
      <c r="A33" s="118" t="s">
        <v>102</v>
      </c>
      <c r="B33" s="119" t="s">
        <v>182</v>
      </c>
      <c r="C33" s="119">
        <v>1.3</v>
      </c>
      <c r="D33" s="119"/>
      <c r="E33" s="201"/>
    </row>
    <row r="34" spans="1:5" ht="27">
      <c r="A34" s="118" t="s">
        <v>103</v>
      </c>
      <c r="B34" s="119" t="s">
        <v>183</v>
      </c>
      <c r="C34" s="119">
        <v>1.7</v>
      </c>
      <c r="D34" s="119"/>
      <c r="E34" s="201"/>
    </row>
    <row r="35" spans="1:5" ht="54">
      <c r="A35" s="118" t="s">
        <v>104</v>
      </c>
      <c r="B35" s="119" t="s">
        <v>184</v>
      </c>
      <c r="C35" s="119">
        <v>1.7</v>
      </c>
      <c r="D35" s="119"/>
      <c r="E35" s="201"/>
    </row>
    <row r="36" spans="1:5" ht="27">
      <c r="A36" s="118" t="s">
        <v>105</v>
      </c>
      <c r="B36" s="119" t="s">
        <v>185</v>
      </c>
      <c r="C36" s="119">
        <v>1.9</v>
      </c>
      <c r="D36" s="119"/>
      <c r="E36" s="201"/>
    </row>
    <row r="37" spans="1:5" ht="27">
      <c r="A37" s="118" t="s">
        <v>106</v>
      </c>
      <c r="B37" s="119" t="s">
        <v>186</v>
      </c>
      <c r="C37" s="119">
        <v>2</v>
      </c>
      <c r="D37" s="119"/>
      <c r="E37" s="201"/>
    </row>
    <row r="38" spans="1:5">
      <c r="A38" s="199"/>
      <c r="B38" s="199"/>
      <c r="C38" s="199"/>
      <c r="D38" s="199"/>
      <c r="E38" s="199"/>
    </row>
    <row r="39" spans="1:5" ht="15">
      <c r="A39" s="200" t="s">
        <v>107</v>
      </c>
      <c r="B39" s="200"/>
      <c r="C39" s="200"/>
      <c r="D39" s="200"/>
      <c r="E39" s="200"/>
    </row>
    <row r="40" spans="1:5">
      <c r="A40" s="115" t="s">
        <v>99</v>
      </c>
      <c r="B40" s="116" t="s">
        <v>108</v>
      </c>
      <c r="C40" s="116" t="s">
        <v>99</v>
      </c>
      <c r="D40" s="116" t="s">
        <v>100</v>
      </c>
      <c r="E40" s="117" t="s">
        <v>4</v>
      </c>
    </row>
    <row r="41" spans="1:5" ht="32" customHeight="1">
      <c r="A41" s="191" t="s">
        <v>109</v>
      </c>
      <c r="B41" s="120" t="s">
        <v>110</v>
      </c>
      <c r="C41" s="119">
        <v>-1</v>
      </c>
      <c r="D41" s="119">
        <v>-1</v>
      </c>
      <c r="E41" s="182"/>
    </row>
    <row r="42" spans="1:5" ht="26" customHeight="1">
      <c r="A42" s="192"/>
      <c r="B42" s="120" t="s">
        <v>111</v>
      </c>
      <c r="C42" s="119">
        <v>1</v>
      </c>
      <c r="D42" s="119"/>
      <c r="E42" s="182"/>
    </row>
    <row r="43" spans="1:5" ht="24" customHeight="1">
      <c r="A43" s="191" t="s">
        <v>112</v>
      </c>
      <c r="B43" s="120" t="s">
        <v>113</v>
      </c>
      <c r="C43" s="119">
        <v>-1</v>
      </c>
      <c r="D43" s="119"/>
      <c r="E43" s="182"/>
    </row>
    <row r="44" spans="1:5" ht="27">
      <c r="A44" s="192"/>
      <c r="B44" s="120" t="s">
        <v>114</v>
      </c>
      <c r="C44" s="119">
        <v>1</v>
      </c>
      <c r="D44" s="119">
        <v>1</v>
      </c>
      <c r="E44" s="182"/>
    </row>
    <row r="45" spans="1:5" ht="27" customHeight="1">
      <c r="A45" s="191" t="s">
        <v>115</v>
      </c>
      <c r="B45" s="120" t="s">
        <v>116</v>
      </c>
      <c r="C45" s="119">
        <v>-1</v>
      </c>
      <c r="D45" s="119"/>
      <c r="E45" s="182"/>
    </row>
    <row r="46" spans="1:5" ht="27">
      <c r="A46" s="192"/>
      <c r="B46" s="120" t="s">
        <v>117</v>
      </c>
      <c r="C46" s="119">
        <v>1</v>
      </c>
      <c r="D46" s="119">
        <v>1</v>
      </c>
      <c r="E46" s="182"/>
    </row>
    <row r="47" spans="1:5" ht="22" customHeight="1">
      <c r="A47" s="191" t="s">
        <v>118</v>
      </c>
      <c r="B47" s="120" t="s">
        <v>119</v>
      </c>
      <c r="C47" s="119">
        <v>-1</v>
      </c>
      <c r="D47" s="119">
        <v>-1</v>
      </c>
      <c r="E47" s="182"/>
    </row>
    <row r="48" spans="1:5" ht="27">
      <c r="A48" s="193"/>
      <c r="B48" s="121" t="s">
        <v>120</v>
      </c>
      <c r="C48" s="122">
        <v>1</v>
      </c>
      <c r="D48" s="122"/>
      <c r="E48" s="183"/>
    </row>
    <row r="49" spans="1:5" ht="24" customHeight="1">
      <c r="A49" s="184" t="s">
        <v>121</v>
      </c>
      <c r="B49" s="185"/>
      <c r="C49" s="185"/>
      <c r="D49" s="185"/>
      <c r="E49" s="186"/>
    </row>
  </sheetData>
  <mergeCells count="19">
    <mergeCell ref="A1:D1"/>
    <mergeCell ref="A28:D28"/>
    <mergeCell ref="A29:E29"/>
    <mergeCell ref="A38:E38"/>
    <mergeCell ref="A39:E39"/>
    <mergeCell ref="E31:E37"/>
    <mergeCell ref="E41:E48"/>
    <mergeCell ref="A49:E49"/>
    <mergeCell ref="A5:A6"/>
    <mergeCell ref="A7:A9"/>
    <mergeCell ref="A10:A12"/>
    <mergeCell ref="A13:A14"/>
    <mergeCell ref="A15:A17"/>
    <mergeCell ref="A20:A22"/>
    <mergeCell ref="A23:A25"/>
    <mergeCell ref="A41:A42"/>
    <mergeCell ref="A43:A44"/>
    <mergeCell ref="A45:A46"/>
    <mergeCell ref="A47:A48"/>
  </mergeCells>
  <phoneticPr fontId="33"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I21"/>
  <sheetViews>
    <sheetView workbookViewId="0">
      <selection activeCell="H9" sqref="H9"/>
    </sheetView>
  </sheetViews>
  <sheetFormatPr defaultColWidth="9" defaultRowHeight="14"/>
  <cols>
    <col min="1" max="1" width="13.453125" customWidth="1"/>
    <col min="2" max="2" width="19.26953125" customWidth="1"/>
    <col min="3" max="3" width="20.90625" customWidth="1"/>
    <col min="4" max="4" width="24.6328125" customWidth="1"/>
    <col min="5" max="5" width="19.08984375" customWidth="1"/>
    <col min="6" max="6" width="20.08984375" customWidth="1"/>
    <col min="8" max="8" width="18.90625" customWidth="1"/>
  </cols>
  <sheetData>
    <row r="1" spans="1:9" ht="15">
      <c r="A1" s="170" t="s">
        <v>43</v>
      </c>
      <c r="B1" s="171"/>
      <c r="C1" s="171"/>
      <c r="D1" s="171"/>
      <c r="E1" s="171"/>
      <c r="F1" s="171"/>
      <c r="G1" s="171"/>
      <c r="H1" s="172"/>
    </row>
    <row r="2" spans="1:9" s="21" customFormat="1" ht="40.5">
      <c r="A2" s="123" t="s">
        <v>44</v>
      </c>
      <c r="B2" s="123" t="s">
        <v>45</v>
      </c>
      <c r="C2" s="123" t="s">
        <v>46</v>
      </c>
      <c r="D2" s="123" t="s">
        <v>47</v>
      </c>
      <c r="E2" s="123" t="s">
        <v>48</v>
      </c>
      <c r="F2" s="123" t="s">
        <v>192</v>
      </c>
      <c r="G2" s="123" t="s">
        <v>49</v>
      </c>
      <c r="H2" s="153" t="s">
        <v>193</v>
      </c>
      <c r="I2" s="21" t="s">
        <v>191</v>
      </c>
    </row>
    <row r="3" spans="1:9">
      <c r="A3" s="149">
        <v>1</v>
      </c>
      <c r="B3" s="175" t="s">
        <v>50</v>
      </c>
      <c r="C3" s="178" t="s">
        <v>51</v>
      </c>
      <c r="D3" s="149" t="s">
        <v>51</v>
      </c>
      <c r="E3" s="149" t="s">
        <v>52</v>
      </c>
      <c r="F3" s="125">
        <f>IF("ILF"=E3,10, IF("EIF"=E3, 7,IF(E3="EI", 4, IF(E3="EO", 5, IF(E3="EQ", 4, 0))) ))</f>
        <v>10</v>
      </c>
      <c r="G3" s="149" t="s">
        <v>53</v>
      </c>
      <c r="H3" s="126">
        <f>ROUND(IF(G3="高",1/3,IF(G3="中",2/3,1)) *F3,2)</f>
        <v>6.67</v>
      </c>
    </row>
    <row r="4" spans="1:9">
      <c r="A4" s="149">
        <v>2</v>
      </c>
      <c r="B4" s="176"/>
      <c r="C4" s="179"/>
      <c r="D4" s="149" t="s">
        <v>54</v>
      </c>
      <c r="E4" s="149" t="s">
        <v>52</v>
      </c>
      <c r="F4" s="125">
        <f t="shared" ref="F4:F19" si="0">IF("ILF"=E4,10, IF("EIF"=E4, 7,IF(E4="EI", 4, IF(E4="EO", 5, IF(E4="EQ", 4, 0))) ))</f>
        <v>10</v>
      </c>
      <c r="G4" s="149" t="s">
        <v>195</v>
      </c>
      <c r="H4" s="126">
        <f t="shared" ref="H4:H19" si="1">ROUND(IF(G4="高",1/3,IF(G4="中",2/3,1)) *F4,2)</f>
        <v>3.33</v>
      </c>
    </row>
    <row r="5" spans="1:9">
      <c r="A5" s="149">
        <v>3</v>
      </c>
      <c r="B5" s="176"/>
      <c r="C5" s="179"/>
      <c r="D5" s="149" t="s">
        <v>55</v>
      </c>
      <c r="E5" s="149" t="s">
        <v>56</v>
      </c>
      <c r="F5" s="125">
        <f t="shared" si="0"/>
        <v>7</v>
      </c>
      <c r="G5" s="149" t="s">
        <v>194</v>
      </c>
      <c r="H5" s="126">
        <f t="shared" si="1"/>
        <v>7</v>
      </c>
    </row>
    <row r="6" spans="1:9">
      <c r="A6" s="149">
        <v>4</v>
      </c>
      <c r="B6" s="176"/>
      <c r="C6" s="179"/>
      <c r="D6" s="149" t="s">
        <v>57</v>
      </c>
      <c r="E6" s="149" t="s">
        <v>56</v>
      </c>
      <c r="F6" s="125">
        <f t="shared" si="0"/>
        <v>7</v>
      </c>
      <c r="G6" s="149" t="s">
        <v>53</v>
      </c>
      <c r="H6" s="126">
        <f t="shared" si="1"/>
        <v>4.67</v>
      </c>
    </row>
    <row r="7" spans="1:9">
      <c r="A7" s="127">
        <v>5</v>
      </c>
      <c r="B7" s="176"/>
      <c r="C7" s="180"/>
      <c r="D7" s="149" t="s">
        <v>58</v>
      </c>
      <c r="E7" s="149"/>
      <c r="F7" s="125">
        <f t="shared" si="0"/>
        <v>0</v>
      </c>
      <c r="G7" s="149"/>
      <c r="H7" s="126">
        <f t="shared" si="1"/>
        <v>0</v>
      </c>
    </row>
    <row r="8" spans="1:9">
      <c r="A8" s="127" t="s">
        <v>59</v>
      </c>
      <c r="B8" s="177" t="s">
        <v>60</v>
      </c>
      <c r="C8" s="181" t="s">
        <v>61</v>
      </c>
      <c r="D8" s="150" t="s">
        <v>62</v>
      </c>
      <c r="E8" s="149" t="s">
        <v>52</v>
      </c>
      <c r="F8" s="125">
        <f t="shared" si="0"/>
        <v>10</v>
      </c>
      <c r="G8" s="149" t="s">
        <v>53</v>
      </c>
      <c r="H8" s="126">
        <f t="shared" si="1"/>
        <v>6.67</v>
      </c>
    </row>
    <row r="9" spans="1:9">
      <c r="A9" s="127"/>
      <c r="B9" s="177"/>
      <c r="C9" s="181"/>
      <c r="D9" s="150" t="s">
        <v>63</v>
      </c>
      <c r="E9" s="149" t="s">
        <v>52</v>
      </c>
      <c r="F9" s="125">
        <f t="shared" si="0"/>
        <v>10</v>
      </c>
      <c r="G9" s="149" t="s">
        <v>53</v>
      </c>
      <c r="H9" s="126">
        <f t="shared" si="1"/>
        <v>6.67</v>
      </c>
    </row>
    <row r="10" spans="1:9">
      <c r="A10" s="127"/>
      <c r="B10" s="177"/>
      <c r="C10" s="181"/>
      <c r="D10" s="150" t="s">
        <v>64</v>
      </c>
      <c r="E10" s="149" t="s">
        <v>56</v>
      </c>
      <c r="F10" s="125">
        <f t="shared" si="0"/>
        <v>7</v>
      </c>
      <c r="G10" s="149" t="s">
        <v>53</v>
      </c>
      <c r="H10" s="126">
        <f t="shared" si="1"/>
        <v>4.67</v>
      </c>
    </row>
    <row r="11" spans="1:9">
      <c r="A11" s="127"/>
      <c r="B11" s="177"/>
      <c r="C11" s="177" t="s">
        <v>65</v>
      </c>
      <c r="D11" s="149" t="s">
        <v>58</v>
      </c>
      <c r="E11" s="149" t="s">
        <v>52</v>
      </c>
      <c r="F11" s="125">
        <f t="shared" si="0"/>
        <v>10</v>
      </c>
      <c r="G11" s="149" t="s">
        <v>53</v>
      </c>
      <c r="H11" s="126">
        <f t="shared" si="1"/>
        <v>6.67</v>
      </c>
    </row>
    <row r="12" spans="1:9">
      <c r="A12" s="127"/>
      <c r="B12" s="177"/>
      <c r="C12" s="177"/>
      <c r="D12" s="149" t="s">
        <v>59</v>
      </c>
      <c r="E12" s="149"/>
      <c r="F12" s="125">
        <f t="shared" si="0"/>
        <v>0</v>
      </c>
      <c r="G12" s="149" t="s">
        <v>53</v>
      </c>
      <c r="H12" s="126">
        <f t="shared" si="1"/>
        <v>0</v>
      </c>
    </row>
    <row r="13" spans="1:9">
      <c r="A13" s="127"/>
      <c r="B13" s="177"/>
      <c r="C13" s="177" t="s">
        <v>66</v>
      </c>
      <c r="D13" s="149" t="s">
        <v>58</v>
      </c>
      <c r="E13" s="149" t="s">
        <v>52</v>
      </c>
      <c r="F13" s="125">
        <f t="shared" si="0"/>
        <v>10</v>
      </c>
      <c r="G13" s="149" t="s">
        <v>53</v>
      </c>
      <c r="H13" s="126">
        <f t="shared" si="1"/>
        <v>6.67</v>
      </c>
    </row>
    <row r="14" spans="1:9">
      <c r="A14" s="127"/>
      <c r="B14" s="177"/>
      <c r="C14" s="177"/>
      <c r="D14" s="149" t="s">
        <v>59</v>
      </c>
      <c r="E14" s="149"/>
      <c r="F14" s="125">
        <f t="shared" si="0"/>
        <v>0</v>
      </c>
      <c r="G14" s="149" t="s">
        <v>53</v>
      </c>
      <c r="H14" s="126">
        <f t="shared" si="1"/>
        <v>0</v>
      </c>
    </row>
    <row r="15" spans="1:9">
      <c r="A15" s="127"/>
      <c r="B15" s="149"/>
      <c r="C15" s="177" t="s">
        <v>67</v>
      </c>
      <c r="D15" s="149" t="s">
        <v>58</v>
      </c>
      <c r="E15" s="149" t="s">
        <v>196</v>
      </c>
      <c r="F15" s="125">
        <f t="shared" si="0"/>
        <v>4</v>
      </c>
      <c r="G15" s="149" t="s">
        <v>53</v>
      </c>
      <c r="H15" s="126">
        <f t="shared" si="1"/>
        <v>2.67</v>
      </c>
    </row>
    <row r="16" spans="1:9">
      <c r="A16" s="127"/>
      <c r="B16" s="149"/>
      <c r="C16" s="177"/>
      <c r="D16" s="149" t="s">
        <v>59</v>
      </c>
      <c r="E16" s="149"/>
      <c r="F16" s="125">
        <f t="shared" si="0"/>
        <v>0</v>
      </c>
      <c r="G16" s="149" t="s">
        <v>53</v>
      </c>
      <c r="H16" s="126">
        <f t="shared" si="1"/>
        <v>0</v>
      </c>
    </row>
    <row r="17" spans="1:8">
      <c r="A17" s="127"/>
      <c r="B17" s="149"/>
      <c r="C17" s="177" t="s">
        <v>68</v>
      </c>
      <c r="D17" s="149" t="s">
        <v>58</v>
      </c>
      <c r="E17" s="149" t="s">
        <v>69</v>
      </c>
      <c r="F17" s="125">
        <f t="shared" si="0"/>
        <v>4</v>
      </c>
      <c r="G17" s="149" t="s">
        <v>53</v>
      </c>
      <c r="H17" s="126">
        <f t="shared" si="1"/>
        <v>2.67</v>
      </c>
    </row>
    <row r="18" spans="1:8">
      <c r="A18" s="127"/>
      <c r="B18" s="149"/>
      <c r="C18" s="177"/>
      <c r="D18" s="149" t="s">
        <v>59</v>
      </c>
      <c r="E18" s="149" t="s">
        <v>70</v>
      </c>
      <c r="F18" s="125">
        <f t="shared" si="0"/>
        <v>5</v>
      </c>
      <c r="G18" s="149" t="s">
        <v>53</v>
      </c>
      <c r="H18" s="126">
        <f t="shared" si="1"/>
        <v>3.33</v>
      </c>
    </row>
    <row r="19" spans="1:8" ht="18" customHeight="1">
      <c r="A19" s="149" t="s">
        <v>59</v>
      </c>
      <c r="B19" s="149" t="s">
        <v>59</v>
      </c>
      <c r="C19" s="127" t="s">
        <v>71</v>
      </c>
      <c r="D19" s="149"/>
      <c r="E19" s="149" t="s">
        <v>52</v>
      </c>
      <c r="F19" s="125">
        <f t="shared" si="0"/>
        <v>10</v>
      </c>
      <c r="G19" s="149" t="s">
        <v>53</v>
      </c>
      <c r="H19" s="126">
        <f t="shared" si="1"/>
        <v>6.67</v>
      </c>
    </row>
    <row r="20" spans="1:8">
      <c r="A20" s="129" t="s">
        <v>13</v>
      </c>
      <c r="B20" s="129"/>
      <c r="C20" s="129"/>
      <c r="D20" s="129"/>
      <c r="E20" s="129"/>
      <c r="F20" s="130">
        <f>SUM(F3:F19)</f>
        <v>104</v>
      </c>
      <c r="G20" s="130"/>
      <c r="H20" s="130">
        <f t="shared" ref="H20" si="2">SUM(H3:H19)</f>
        <v>68.360000000000014</v>
      </c>
    </row>
    <row r="21" spans="1:8" ht="53" customHeight="1">
      <c r="A21" s="173" t="s">
        <v>188</v>
      </c>
      <c r="B21" s="174"/>
      <c r="C21" s="174"/>
      <c r="D21" s="174"/>
      <c r="E21" s="174"/>
      <c r="F21" s="174"/>
      <c r="G21" s="174"/>
      <c r="H21" s="174"/>
    </row>
  </sheetData>
  <mergeCells count="10">
    <mergeCell ref="C15:C16"/>
    <mergeCell ref="C17:C18"/>
    <mergeCell ref="A21:H21"/>
    <mergeCell ref="A1:H1"/>
    <mergeCell ref="B3:B7"/>
    <mergeCell ref="C3:C7"/>
    <mergeCell ref="B8:B14"/>
    <mergeCell ref="C8:C10"/>
    <mergeCell ref="C11:C12"/>
    <mergeCell ref="C13:C14"/>
  </mergeCells>
  <phoneticPr fontId="33" type="noConversion"/>
  <dataValidations count="2">
    <dataValidation type="list" allowBlank="1" showInputMessage="1" showErrorMessage="1" sqref="G3:G19">
      <formula1>"高,中,低"</formula1>
    </dataValidation>
    <dataValidation type="list" allowBlank="1" showInputMessage="1" showErrorMessage="1" sqref="E3:E19">
      <formula1>"ILF,EIF,EI,EO,EQ"</formula1>
    </dataValidation>
  </dataValidations>
  <pageMargins left="0.75" right="0.75" top="1" bottom="1" header="0.5" footer="0.5"/>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9"/>
  <sheetViews>
    <sheetView workbookViewId="0">
      <selection activeCell="G31" sqref="G31"/>
    </sheetView>
  </sheetViews>
  <sheetFormatPr defaultColWidth="9" defaultRowHeight="14"/>
  <cols>
    <col min="1" max="1" width="38" style="94" customWidth="1"/>
    <col min="2" max="2" width="26" style="94" customWidth="1"/>
    <col min="3" max="3" width="23" style="94" customWidth="1"/>
    <col min="4" max="4" width="16" style="94" customWidth="1"/>
    <col min="5" max="5" width="26.81640625" style="94" customWidth="1"/>
    <col min="6" max="16384" width="9" style="94"/>
  </cols>
  <sheetData>
    <row r="1" spans="1:5" ht="15.5" thickBot="1">
      <c r="A1" s="194" t="s">
        <v>72</v>
      </c>
      <c r="B1" s="194"/>
      <c r="C1" s="194"/>
      <c r="D1" s="195"/>
    </row>
    <row r="2" spans="1:5" ht="22.5" customHeight="1">
      <c r="A2" s="95" t="s">
        <v>73</v>
      </c>
      <c r="B2" s="96"/>
      <c r="C2" s="97">
        <f>'定制软件开发功能点明细表(估算）'!F20</f>
        <v>104</v>
      </c>
      <c r="D2" s="98"/>
    </row>
    <row r="3" spans="1:5">
      <c r="A3" s="151" t="s">
        <v>74</v>
      </c>
      <c r="B3" s="100"/>
      <c r="C3" s="101">
        <f>'定制软件开发功能点明细表(估算）'!H20</f>
        <v>68.360000000000014</v>
      </c>
      <c r="D3" s="102"/>
    </row>
    <row r="4" spans="1:5" ht="73.5" customHeight="1">
      <c r="A4" s="151" t="s">
        <v>75</v>
      </c>
      <c r="B4" s="100">
        <v>1.25</v>
      </c>
      <c r="C4" s="103"/>
      <c r="D4" s="102" t="s">
        <v>189</v>
      </c>
    </row>
    <row r="5" spans="1:5" ht="26">
      <c r="A5" s="187" t="s">
        <v>76</v>
      </c>
      <c r="B5" s="100" t="s">
        <v>77</v>
      </c>
      <c r="C5" s="101">
        <f>C2*B4</f>
        <v>130</v>
      </c>
      <c r="D5" s="102"/>
    </row>
    <row r="6" spans="1:5" ht="26">
      <c r="A6" s="187"/>
      <c r="B6" s="100" t="s">
        <v>78</v>
      </c>
      <c r="C6" s="101">
        <f>C3*B4</f>
        <v>85.450000000000017</v>
      </c>
      <c r="D6" s="102"/>
    </row>
    <row r="7" spans="1:5">
      <c r="A7" s="188" t="s">
        <v>79</v>
      </c>
      <c r="B7" s="104"/>
      <c r="C7" s="105" t="s">
        <v>80</v>
      </c>
      <c r="D7" s="147">
        <v>3.99</v>
      </c>
    </row>
    <row r="8" spans="1:5" ht="28">
      <c r="A8" s="188"/>
      <c r="B8" s="104"/>
      <c r="C8" s="105" t="s">
        <v>81</v>
      </c>
      <c r="D8" s="147">
        <v>7.19</v>
      </c>
      <c r="E8" s="152" t="s">
        <v>190</v>
      </c>
    </row>
    <row r="9" spans="1:5">
      <c r="A9" s="188"/>
      <c r="B9" s="104"/>
      <c r="C9" s="105" t="s">
        <v>82</v>
      </c>
      <c r="D9" s="147">
        <v>12.48</v>
      </c>
    </row>
    <row r="10" spans="1:5">
      <c r="A10" s="187" t="s">
        <v>83</v>
      </c>
      <c r="B10" s="100"/>
      <c r="C10" s="105" t="s">
        <v>80</v>
      </c>
      <c r="D10" s="107">
        <f>D7*C6</f>
        <v>340.9455000000001</v>
      </c>
    </row>
    <row r="11" spans="1:5">
      <c r="A11" s="189"/>
      <c r="B11" s="100"/>
      <c r="C11" s="105" t="s">
        <v>81</v>
      </c>
      <c r="D11" s="107">
        <f>D8*C6</f>
        <v>614.38550000000021</v>
      </c>
    </row>
    <row r="12" spans="1:5">
      <c r="A12" s="189"/>
      <c r="B12" s="100"/>
      <c r="C12" s="105" t="s">
        <v>82</v>
      </c>
      <c r="D12" s="107">
        <f>D9*C6</f>
        <v>1066.4160000000002</v>
      </c>
    </row>
    <row r="13" spans="1:5">
      <c r="A13" s="190" t="s">
        <v>84</v>
      </c>
      <c r="B13" s="100"/>
      <c r="C13" s="105" t="s">
        <v>85</v>
      </c>
      <c r="D13" s="108">
        <v>1</v>
      </c>
    </row>
    <row r="14" spans="1:5">
      <c r="A14" s="190"/>
      <c r="B14" s="100"/>
      <c r="C14" s="105" t="s">
        <v>86</v>
      </c>
      <c r="D14" s="108">
        <v>1</v>
      </c>
    </row>
    <row r="15" spans="1:5">
      <c r="A15" s="187" t="s">
        <v>87</v>
      </c>
      <c r="B15" s="100"/>
      <c r="C15" s="105" t="s">
        <v>80</v>
      </c>
      <c r="D15" s="106">
        <f>D10*D13*D14</f>
        <v>340.9455000000001</v>
      </c>
    </row>
    <row r="16" spans="1:5">
      <c r="A16" s="189"/>
      <c r="B16" s="100"/>
      <c r="C16" s="105" t="s">
        <v>81</v>
      </c>
      <c r="D16" s="106">
        <f>D11*D13*D14</f>
        <v>614.38550000000021</v>
      </c>
    </row>
    <row r="17" spans="1:5">
      <c r="A17" s="189"/>
      <c r="B17" s="100"/>
      <c r="C17" s="105" t="s">
        <v>82</v>
      </c>
      <c r="D17" s="106">
        <f>D12*D13*D14</f>
        <v>1066.4160000000002</v>
      </c>
    </row>
    <row r="18" spans="1:5" ht="23" customHeight="1">
      <c r="A18" s="151" t="s">
        <v>88</v>
      </c>
      <c r="B18" s="104"/>
      <c r="C18" s="105"/>
      <c r="D18" s="106">
        <v>174</v>
      </c>
    </row>
    <row r="19" spans="1:5" ht="26" customHeight="1">
      <c r="A19" s="151" t="s">
        <v>89</v>
      </c>
      <c r="B19" s="104"/>
      <c r="C19" s="105"/>
      <c r="D19" s="148">
        <v>21300</v>
      </c>
    </row>
    <row r="20" spans="1:5">
      <c r="A20" s="187" t="s">
        <v>90</v>
      </c>
      <c r="B20" s="100"/>
      <c r="C20" s="105" t="s">
        <v>80</v>
      </c>
      <c r="D20" s="106">
        <f>1.277*POWER(D15/8/22,0.404)</f>
        <v>1.6680478487101689</v>
      </c>
    </row>
    <row r="21" spans="1:5">
      <c r="A21" s="189"/>
      <c r="B21" s="100"/>
      <c r="C21" s="105" t="s">
        <v>81</v>
      </c>
      <c r="D21" s="106">
        <f t="shared" ref="D21:D22" si="0">1.277*POWER(D16/8/22,0.404)</f>
        <v>2.1160889836954508</v>
      </c>
    </row>
    <row r="22" spans="1:5">
      <c r="A22" s="189"/>
      <c r="B22" s="100"/>
      <c r="C22" s="105" t="s">
        <v>82</v>
      </c>
      <c r="D22" s="106">
        <f t="shared" si="0"/>
        <v>2.6441503557493111</v>
      </c>
    </row>
    <row r="23" spans="1:5">
      <c r="A23" s="187" t="s">
        <v>91</v>
      </c>
      <c r="B23" s="100"/>
      <c r="C23" s="105" t="s">
        <v>80</v>
      </c>
      <c r="D23" s="106">
        <f>D15/D18*D19</f>
        <v>41736.431896551738</v>
      </c>
    </row>
    <row r="24" spans="1:5">
      <c r="A24" s="189"/>
      <c r="B24" s="100"/>
      <c r="C24" s="105" t="s">
        <v>81</v>
      </c>
      <c r="D24" s="106">
        <f>D16/D18*D19</f>
        <v>75209.259482758644</v>
      </c>
    </row>
    <row r="25" spans="1:5">
      <c r="A25" s="189"/>
      <c r="B25" s="100"/>
      <c r="C25" s="105" t="s">
        <v>82</v>
      </c>
      <c r="D25" s="106">
        <f>D17/D18*D19</f>
        <v>130544.02758620691</v>
      </c>
    </row>
    <row r="26" spans="1:5" ht="17" customHeight="1">
      <c r="A26" s="151"/>
      <c r="B26" s="100"/>
      <c r="C26" s="109" t="s">
        <v>92</v>
      </c>
      <c r="D26" s="110">
        <f>D24</f>
        <v>75209.259482758644</v>
      </c>
    </row>
    <row r="27" spans="1:5">
      <c r="A27" s="111" t="s">
        <v>93</v>
      </c>
      <c r="B27" s="112"/>
      <c r="C27" s="113" t="s">
        <v>94</v>
      </c>
      <c r="D27" s="114">
        <f>D26/C6</f>
        <v>880.15517241379325</v>
      </c>
    </row>
    <row r="28" spans="1:5" ht="58" customHeight="1">
      <c r="A28" s="196" t="s">
        <v>95</v>
      </c>
      <c r="B28" s="196"/>
      <c r="C28" s="196"/>
      <c r="D28" s="196"/>
    </row>
    <row r="29" spans="1:5" ht="23" customHeight="1" thickBot="1">
      <c r="A29" s="197" t="s">
        <v>96</v>
      </c>
      <c r="B29" s="198"/>
      <c r="C29" s="198"/>
      <c r="D29" s="198"/>
      <c r="E29" s="198"/>
    </row>
    <row r="30" spans="1:5">
      <c r="A30" s="115" t="s">
        <v>97</v>
      </c>
      <c r="B30" s="116" t="s">
        <v>98</v>
      </c>
      <c r="C30" s="116" t="s">
        <v>99</v>
      </c>
      <c r="D30" s="116" t="s">
        <v>100</v>
      </c>
      <c r="E30" s="117" t="s">
        <v>4</v>
      </c>
    </row>
    <row r="31" spans="1:5" ht="40.5">
      <c r="A31" s="118" t="s">
        <v>101</v>
      </c>
      <c r="B31" s="119" t="s">
        <v>179</v>
      </c>
      <c r="C31" s="119">
        <v>1</v>
      </c>
      <c r="D31" s="119">
        <v>1</v>
      </c>
      <c r="E31" s="201"/>
    </row>
    <row r="32" spans="1:5" ht="40.5">
      <c r="A32" s="118" t="s">
        <v>180</v>
      </c>
      <c r="B32" s="119" t="s">
        <v>181</v>
      </c>
      <c r="C32" s="119">
        <v>1.2</v>
      </c>
      <c r="D32" s="119"/>
      <c r="E32" s="201"/>
    </row>
    <row r="33" spans="1:5" ht="40.5">
      <c r="A33" s="118" t="s">
        <v>102</v>
      </c>
      <c r="B33" s="119" t="s">
        <v>182</v>
      </c>
      <c r="C33" s="119">
        <v>1.3</v>
      </c>
      <c r="D33" s="119"/>
      <c r="E33" s="201"/>
    </row>
    <row r="34" spans="1:5" ht="27">
      <c r="A34" s="118" t="s">
        <v>103</v>
      </c>
      <c r="B34" s="119" t="s">
        <v>183</v>
      </c>
      <c r="C34" s="119">
        <v>1.7</v>
      </c>
      <c r="D34" s="119"/>
      <c r="E34" s="201"/>
    </row>
    <row r="35" spans="1:5" ht="54">
      <c r="A35" s="118" t="s">
        <v>104</v>
      </c>
      <c r="B35" s="119" t="s">
        <v>184</v>
      </c>
      <c r="C35" s="119">
        <v>1.7</v>
      </c>
      <c r="D35" s="119"/>
      <c r="E35" s="201"/>
    </row>
    <row r="36" spans="1:5" ht="27">
      <c r="A36" s="118" t="s">
        <v>105</v>
      </c>
      <c r="B36" s="119" t="s">
        <v>185</v>
      </c>
      <c r="C36" s="119">
        <v>1.9</v>
      </c>
      <c r="D36" s="119"/>
      <c r="E36" s="201"/>
    </row>
    <row r="37" spans="1:5" ht="27">
      <c r="A37" s="118" t="s">
        <v>106</v>
      </c>
      <c r="B37" s="119" t="s">
        <v>186</v>
      </c>
      <c r="C37" s="119">
        <v>2</v>
      </c>
      <c r="D37" s="119"/>
      <c r="E37" s="201"/>
    </row>
    <row r="38" spans="1:5">
      <c r="A38" s="199"/>
      <c r="B38" s="199"/>
      <c r="C38" s="199"/>
      <c r="D38" s="199"/>
      <c r="E38" s="199"/>
    </row>
    <row r="39" spans="1:5" ht="15.5" thickBot="1">
      <c r="A39" s="200" t="s">
        <v>107</v>
      </c>
      <c r="B39" s="200"/>
      <c r="C39" s="200"/>
      <c r="D39" s="200"/>
      <c r="E39" s="200"/>
    </row>
    <row r="40" spans="1:5">
      <c r="A40" s="115" t="s">
        <v>99</v>
      </c>
      <c r="B40" s="116" t="s">
        <v>108</v>
      </c>
      <c r="C40" s="116" t="s">
        <v>99</v>
      </c>
      <c r="D40" s="116" t="s">
        <v>100</v>
      </c>
      <c r="E40" s="117" t="s">
        <v>4</v>
      </c>
    </row>
    <row r="41" spans="1:5" ht="32" customHeight="1">
      <c r="A41" s="191" t="s">
        <v>109</v>
      </c>
      <c r="B41" s="120" t="s">
        <v>110</v>
      </c>
      <c r="C41" s="119">
        <v>-1</v>
      </c>
      <c r="D41" s="119">
        <v>-1</v>
      </c>
      <c r="E41" s="182"/>
    </row>
    <row r="42" spans="1:5" ht="26" customHeight="1">
      <c r="A42" s="192"/>
      <c r="B42" s="120" t="s">
        <v>111</v>
      </c>
      <c r="C42" s="119">
        <v>1</v>
      </c>
      <c r="D42" s="119"/>
      <c r="E42" s="182"/>
    </row>
    <row r="43" spans="1:5" ht="24" customHeight="1">
      <c r="A43" s="191" t="s">
        <v>112</v>
      </c>
      <c r="B43" s="120" t="s">
        <v>113</v>
      </c>
      <c r="C43" s="119">
        <v>-1</v>
      </c>
      <c r="D43" s="119"/>
      <c r="E43" s="182"/>
    </row>
    <row r="44" spans="1:5" ht="27">
      <c r="A44" s="192"/>
      <c r="B44" s="120" t="s">
        <v>114</v>
      </c>
      <c r="C44" s="119">
        <v>1</v>
      </c>
      <c r="D44" s="119">
        <v>1</v>
      </c>
      <c r="E44" s="182"/>
    </row>
    <row r="45" spans="1:5" ht="27" customHeight="1">
      <c r="A45" s="191" t="s">
        <v>115</v>
      </c>
      <c r="B45" s="120" t="s">
        <v>116</v>
      </c>
      <c r="C45" s="119">
        <v>-1</v>
      </c>
      <c r="D45" s="119"/>
      <c r="E45" s="182"/>
    </row>
    <row r="46" spans="1:5" ht="27">
      <c r="A46" s="192"/>
      <c r="B46" s="120" t="s">
        <v>117</v>
      </c>
      <c r="C46" s="119">
        <v>1</v>
      </c>
      <c r="D46" s="119">
        <v>1</v>
      </c>
      <c r="E46" s="182"/>
    </row>
    <row r="47" spans="1:5" ht="22" customHeight="1">
      <c r="A47" s="191" t="s">
        <v>118</v>
      </c>
      <c r="B47" s="120" t="s">
        <v>119</v>
      </c>
      <c r="C47" s="119">
        <v>-1</v>
      </c>
      <c r="D47" s="119">
        <v>-1</v>
      </c>
      <c r="E47" s="182"/>
    </row>
    <row r="48" spans="1:5" ht="27">
      <c r="A48" s="193"/>
      <c r="B48" s="121" t="s">
        <v>120</v>
      </c>
      <c r="C48" s="122">
        <v>1</v>
      </c>
      <c r="D48" s="122"/>
      <c r="E48" s="183"/>
    </row>
    <row r="49" spans="1:5" ht="24" customHeight="1" thickBot="1">
      <c r="A49" s="184" t="s">
        <v>121</v>
      </c>
      <c r="B49" s="185"/>
      <c r="C49" s="185"/>
      <c r="D49" s="185"/>
      <c r="E49" s="186"/>
    </row>
  </sheetData>
  <mergeCells count="19">
    <mergeCell ref="A38:E38"/>
    <mergeCell ref="A1:D1"/>
    <mergeCell ref="A5:A6"/>
    <mergeCell ref="A7:A9"/>
    <mergeCell ref="A10:A12"/>
    <mergeCell ref="A13:A14"/>
    <mergeCell ref="A15:A17"/>
    <mergeCell ref="A20:A22"/>
    <mergeCell ref="A23:A25"/>
    <mergeCell ref="A28:D28"/>
    <mergeCell ref="A29:E29"/>
    <mergeCell ref="E31:E37"/>
    <mergeCell ref="A49:E49"/>
    <mergeCell ref="A39:E39"/>
    <mergeCell ref="A41:A42"/>
    <mergeCell ref="E41:E48"/>
    <mergeCell ref="A43:A44"/>
    <mergeCell ref="A45:A46"/>
    <mergeCell ref="A47:A48"/>
  </mergeCells>
  <phoneticPr fontId="33" type="noConversion"/>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0"/>
  <sheetViews>
    <sheetView workbookViewId="0">
      <selection activeCell="G14" sqref="G14"/>
    </sheetView>
  </sheetViews>
  <sheetFormatPr defaultColWidth="9" defaultRowHeight="14"/>
  <cols>
    <col min="1" max="1" width="5.453125" customWidth="1"/>
    <col min="2" max="2" width="7.08984375" customWidth="1"/>
    <col min="3" max="3" width="8" customWidth="1"/>
    <col min="4" max="5" width="10.7265625" customWidth="1"/>
    <col min="6" max="6" width="12.453125" customWidth="1"/>
    <col min="7" max="7" width="14.1796875" style="4" customWidth="1"/>
    <col min="8" max="8" width="14.453125" style="4" customWidth="1"/>
    <col min="9" max="9" width="23.1796875" customWidth="1"/>
  </cols>
  <sheetData>
    <row r="1" spans="1:9" ht="15">
      <c r="A1" s="166" t="s">
        <v>122</v>
      </c>
      <c r="B1" s="166"/>
      <c r="C1" s="166"/>
      <c r="D1" s="166"/>
      <c r="E1" s="166"/>
      <c r="F1" s="166"/>
      <c r="G1" s="166"/>
      <c r="H1" s="166"/>
      <c r="I1" s="166"/>
    </row>
    <row r="2" spans="1:9" s="21" customFormat="1" ht="25" customHeight="1">
      <c r="A2" s="5" t="s">
        <v>15</v>
      </c>
      <c r="B2" s="6" t="s">
        <v>16</v>
      </c>
      <c r="C2" s="84" t="s">
        <v>123</v>
      </c>
      <c r="D2" s="6" t="s">
        <v>124</v>
      </c>
      <c r="E2" s="6" t="s">
        <v>125</v>
      </c>
      <c r="F2" s="6" t="s">
        <v>126</v>
      </c>
      <c r="G2" s="8" t="s">
        <v>127</v>
      </c>
      <c r="H2" s="8" t="s">
        <v>21</v>
      </c>
      <c r="I2" s="92" t="s">
        <v>4</v>
      </c>
    </row>
    <row r="3" spans="1:9" ht="14.5" customHeight="1">
      <c r="A3" s="10">
        <v>1</v>
      </c>
      <c r="B3" s="203" t="s">
        <v>128</v>
      </c>
      <c r="C3" s="204" t="s">
        <v>129</v>
      </c>
      <c r="D3" s="85" t="s">
        <v>130</v>
      </c>
      <c r="E3" s="85"/>
      <c r="F3" s="86"/>
      <c r="G3" s="87"/>
      <c r="H3" s="45">
        <f>F3*G3</f>
        <v>0</v>
      </c>
      <c r="I3" s="93"/>
    </row>
    <row r="4" spans="1:9">
      <c r="A4" s="10">
        <v>2</v>
      </c>
      <c r="B4" s="203"/>
      <c r="C4" s="204"/>
      <c r="D4" s="85" t="s">
        <v>131</v>
      </c>
      <c r="E4" s="85"/>
      <c r="F4" s="86"/>
      <c r="G4" s="87"/>
      <c r="H4" s="45">
        <f t="shared" ref="H4:H7" si="0">F4*G4</f>
        <v>0</v>
      </c>
      <c r="I4" s="93"/>
    </row>
    <row r="5" spans="1:9">
      <c r="A5" s="10">
        <v>3</v>
      </c>
      <c r="B5" s="203"/>
      <c r="C5" s="204"/>
      <c r="D5" s="85" t="s">
        <v>132</v>
      </c>
      <c r="E5" s="85"/>
      <c r="F5" s="86"/>
      <c r="G5" s="87"/>
      <c r="H5" s="45">
        <f t="shared" si="0"/>
        <v>0</v>
      </c>
      <c r="I5" s="93"/>
    </row>
    <row r="6" spans="1:9">
      <c r="A6" s="10" t="s">
        <v>31</v>
      </c>
      <c r="B6" s="203"/>
      <c r="C6" s="204"/>
      <c r="D6" s="85" t="s">
        <v>31</v>
      </c>
      <c r="E6" s="85"/>
      <c r="F6" s="86"/>
      <c r="G6" s="87"/>
      <c r="H6" s="45"/>
      <c r="I6" s="93"/>
    </row>
    <row r="7" spans="1:9">
      <c r="A7" s="10" t="s">
        <v>36</v>
      </c>
      <c r="B7" s="203"/>
      <c r="C7" s="204"/>
      <c r="D7" s="85" t="s">
        <v>133</v>
      </c>
      <c r="E7" s="85"/>
      <c r="F7" s="86"/>
      <c r="G7" s="87"/>
      <c r="H7" s="45">
        <f t="shared" si="0"/>
        <v>0</v>
      </c>
      <c r="I7" s="93"/>
    </row>
    <row r="8" spans="1:9">
      <c r="A8" s="10"/>
      <c r="B8" s="203"/>
      <c r="C8" s="17" t="s">
        <v>37</v>
      </c>
      <c r="D8" s="85"/>
      <c r="E8" s="85"/>
      <c r="F8" s="86"/>
      <c r="G8" s="87"/>
      <c r="H8" s="45">
        <f>SUM(H3:H7)</f>
        <v>0</v>
      </c>
      <c r="I8" s="93"/>
    </row>
    <row r="9" spans="1:9">
      <c r="A9" s="10">
        <v>1</v>
      </c>
      <c r="B9" s="203"/>
      <c r="C9" s="204" t="s">
        <v>134</v>
      </c>
      <c r="D9" s="85" t="s">
        <v>130</v>
      </c>
      <c r="E9" s="85"/>
      <c r="F9" s="86"/>
      <c r="G9" s="87"/>
      <c r="H9" s="45">
        <f>F9*G9</f>
        <v>0</v>
      </c>
      <c r="I9" s="93"/>
    </row>
    <row r="10" spans="1:9">
      <c r="A10" s="10">
        <v>2</v>
      </c>
      <c r="B10" s="203"/>
      <c r="C10" s="204"/>
      <c r="D10" s="85" t="s">
        <v>131</v>
      </c>
      <c r="E10" s="85"/>
      <c r="F10" s="86"/>
      <c r="G10" s="87"/>
      <c r="H10" s="45">
        <f t="shared" ref="H10:H13" si="1">F10*G10</f>
        <v>0</v>
      </c>
      <c r="I10" s="93"/>
    </row>
    <row r="11" spans="1:9">
      <c r="A11" s="10">
        <v>3</v>
      </c>
      <c r="B11" s="203"/>
      <c r="C11" s="204"/>
      <c r="D11" s="85" t="s">
        <v>132</v>
      </c>
      <c r="E11" s="85"/>
      <c r="F11" s="86"/>
      <c r="G11" s="87"/>
      <c r="H11" s="45">
        <f t="shared" si="1"/>
        <v>0</v>
      </c>
      <c r="I11" s="93"/>
    </row>
    <row r="12" spans="1:9">
      <c r="A12" s="10" t="s">
        <v>31</v>
      </c>
      <c r="B12" s="203"/>
      <c r="C12" s="204"/>
      <c r="D12" s="85" t="s">
        <v>31</v>
      </c>
      <c r="E12" s="85"/>
      <c r="F12" s="86"/>
      <c r="G12" s="87"/>
      <c r="H12" s="45"/>
      <c r="I12" s="93"/>
    </row>
    <row r="13" spans="1:9">
      <c r="A13" s="10" t="s">
        <v>36</v>
      </c>
      <c r="B13" s="203"/>
      <c r="C13" s="204"/>
      <c r="D13" s="85" t="s">
        <v>133</v>
      </c>
      <c r="E13" s="85"/>
      <c r="F13" s="86"/>
      <c r="G13" s="87"/>
      <c r="H13" s="45">
        <f t="shared" si="1"/>
        <v>0</v>
      </c>
      <c r="I13" s="93"/>
    </row>
    <row r="14" spans="1:9">
      <c r="A14" s="10"/>
      <c r="B14" s="203"/>
      <c r="C14" s="17" t="s">
        <v>38</v>
      </c>
      <c r="D14" s="85"/>
      <c r="E14" s="85"/>
      <c r="F14" s="86"/>
      <c r="G14" s="87"/>
      <c r="H14" s="87">
        <f t="shared" ref="H14" si="2">SUM(H9:H13)</f>
        <v>0</v>
      </c>
      <c r="I14" s="93"/>
    </row>
    <row r="15" spans="1:9">
      <c r="A15" s="10">
        <v>1</v>
      </c>
      <c r="B15" s="203"/>
      <c r="C15" s="204" t="s">
        <v>135</v>
      </c>
      <c r="D15" s="85" t="s">
        <v>130</v>
      </c>
      <c r="E15" s="85"/>
      <c r="F15" s="86"/>
      <c r="G15" s="87"/>
      <c r="H15" s="45">
        <f>F15*G15</f>
        <v>0</v>
      </c>
      <c r="I15" s="93"/>
    </row>
    <row r="16" spans="1:9">
      <c r="A16" s="10">
        <v>2</v>
      </c>
      <c r="B16" s="203"/>
      <c r="C16" s="204"/>
      <c r="D16" s="85" t="s">
        <v>131</v>
      </c>
      <c r="E16" s="85"/>
      <c r="F16" s="86"/>
      <c r="G16" s="87"/>
      <c r="H16" s="45">
        <f t="shared" ref="H16:H19" si="3">F16*G16</f>
        <v>0</v>
      </c>
      <c r="I16" s="93"/>
    </row>
    <row r="17" spans="1:9">
      <c r="A17" s="10">
        <v>3</v>
      </c>
      <c r="B17" s="203"/>
      <c r="C17" s="204"/>
      <c r="D17" s="85" t="s">
        <v>132</v>
      </c>
      <c r="E17" s="85"/>
      <c r="F17" s="86"/>
      <c r="G17" s="87"/>
      <c r="H17" s="45">
        <f t="shared" si="3"/>
        <v>0</v>
      </c>
      <c r="I17" s="93"/>
    </row>
    <row r="18" spans="1:9">
      <c r="A18" s="10" t="s">
        <v>31</v>
      </c>
      <c r="B18" s="203"/>
      <c r="C18" s="204"/>
      <c r="D18" s="85" t="s">
        <v>31</v>
      </c>
      <c r="E18" s="85"/>
      <c r="F18" s="86"/>
      <c r="G18" s="87"/>
      <c r="H18" s="45"/>
      <c r="I18" s="93"/>
    </row>
    <row r="19" spans="1:9">
      <c r="A19" s="10" t="s">
        <v>36</v>
      </c>
      <c r="B19" s="203"/>
      <c r="C19" s="204"/>
      <c r="D19" s="85" t="s">
        <v>133</v>
      </c>
      <c r="E19" s="85"/>
      <c r="F19" s="86"/>
      <c r="G19" s="87"/>
      <c r="H19" s="45">
        <f t="shared" si="3"/>
        <v>0</v>
      </c>
      <c r="I19" s="93"/>
    </row>
    <row r="20" spans="1:9">
      <c r="A20" s="10"/>
      <c r="B20" s="203"/>
      <c r="C20" s="17" t="s">
        <v>39</v>
      </c>
      <c r="D20" s="85"/>
      <c r="E20" s="85"/>
      <c r="F20" s="86"/>
      <c r="G20" s="87"/>
      <c r="H20" s="87">
        <f t="shared" ref="H20" si="4">SUM(H15:H19)</f>
        <v>0</v>
      </c>
      <c r="I20" s="93"/>
    </row>
    <row r="21" spans="1:9">
      <c r="A21" s="10">
        <v>1</v>
      </c>
      <c r="B21" s="203"/>
      <c r="C21" s="204" t="s">
        <v>136</v>
      </c>
      <c r="D21" s="85" t="s">
        <v>130</v>
      </c>
      <c r="E21" s="85"/>
      <c r="F21" s="86"/>
      <c r="G21" s="87"/>
      <c r="H21" s="45">
        <f>F21*G21</f>
        <v>0</v>
      </c>
      <c r="I21" s="93"/>
    </row>
    <row r="22" spans="1:9">
      <c r="A22" s="10">
        <v>2</v>
      </c>
      <c r="B22" s="203"/>
      <c r="C22" s="204"/>
      <c r="D22" s="85" t="s">
        <v>131</v>
      </c>
      <c r="E22" s="85"/>
      <c r="F22" s="86"/>
      <c r="G22" s="87"/>
      <c r="H22" s="45">
        <f t="shared" ref="H22:H25" si="5">F22*G22</f>
        <v>0</v>
      </c>
      <c r="I22" s="93"/>
    </row>
    <row r="23" spans="1:9">
      <c r="A23" s="10">
        <v>3</v>
      </c>
      <c r="B23" s="203"/>
      <c r="C23" s="204"/>
      <c r="D23" s="85" t="s">
        <v>132</v>
      </c>
      <c r="E23" s="85"/>
      <c r="F23" s="86"/>
      <c r="G23" s="87"/>
      <c r="H23" s="45">
        <f t="shared" si="5"/>
        <v>0</v>
      </c>
      <c r="I23" s="93"/>
    </row>
    <row r="24" spans="1:9">
      <c r="A24" s="10" t="s">
        <v>31</v>
      </c>
      <c r="B24" s="203"/>
      <c r="C24" s="204"/>
      <c r="D24" s="85" t="s">
        <v>31</v>
      </c>
      <c r="E24" s="85"/>
      <c r="F24" s="86"/>
      <c r="G24" s="87"/>
      <c r="H24" s="45"/>
      <c r="I24" s="93"/>
    </row>
    <row r="25" spans="1:9">
      <c r="A25" s="10" t="s">
        <v>36</v>
      </c>
      <c r="B25" s="203"/>
      <c r="C25" s="204"/>
      <c r="D25" s="85" t="s">
        <v>133</v>
      </c>
      <c r="E25" s="85"/>
      <c r="F25" s="86"/>
      <c r="G25" s="87"/>
      <c r="H25" s="45">
        <f t="shared" si="5"/>
        <v>0</v>
      </c>
      <c r="I25" s="93"/>
    </row>
    <row r="26" spans="1:9">
      <c r="A26" s="10"/>
      <c r="B26" s="203"/>
      <c r="C26" s="17" t="s">
        <v>137</v>
      </c>
      <c r="D26" s="85"/>
      <c r="E26" s="85"/>
      <c r="F26" s="86"/>
      <c r="G26" s="87"/>
      <c r="H26" s="87">
        <f t="shared" ref="H26" si="6">SUM(H21:H25)</f>
        <v>0</v>
      </c>
      <c r="I26" s="93"/>
    </row>
    <row r="27" spans="1:9">
      <c r="A27" s="88"/>
      <c r="B27" s="89"/>
      <c r="C27" s="90" t="s">
        <v>13</v>
      </c>
      <c r="D27" s="89"/>
      <c r="E27" s="89"/>
      <c r="F27" s="89"/>
      <c r="G27" s="91"/>
      <c r="H27" s="91">
        <f>H8+H14+H20+H26</f>
        <v>0</v>
      </c>
      <c r="I27" s="82" t="s">
        <v>40</v>
      </c>
    </row>
    <row r="29" spans="1:9" s="1" customFormat="1" ht="128.5" customHeight="1">
      <c r="A29" s="202" t="s">
        <v>138</v>
      </c>
      <c r="B29" s="202"/>
      <c r="C29" s="202"/>
      <c r="D29" s="202"/>
      <c r="E29" s="202"/>
      <c r="F29" s="202"/>
      <c r="G29" s="202"/>
      <c r="H29" s="202"/>
      <c r="I29" s="202"/>
    </row>
    <row r="30" spans="1:9" s="1" customFormat="1" ht="17" customHeight="1">
      <c r="A30" s="168" t="s">
        <v>139</v>
      </c>
      <c r="B30" s="168"/>
      <c r="C30" s="168"/>
      <c r="D30" s="168"/>
      <c r="E30" s="168"/>
      <c r="F30" s="168"/>
      <c r="G30" s="168"/>
      <c r="H30" s="168"/>
      <c r="I30" s="168"/>
    </row>
  </sheetData>
  <mergeCells count="8">
    <mergeCell ref="A1:I1"/>
    <mergeCell ref="A29:I29"/>
    <mergeCell ref="A30:I30"/>
    <mergeCell ref="B3:B26"/>
    <mergeCell ref="C3:C7"/>
    <mergeCell ref="C9:C13"/>
    <mergeCell ref="C15:C19"/>
    <mergeCell ref="C21:C25"/>
  </mergeCells>
  <phoneticPr fontId="33" type="noConversion"/>
  <pageMargins left="0.69930555555555596" right="0.69930555555555596" top="0.75" bottom="0.75" header="0.3" footer="0.3"/>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3"/>
  <sheetViews>
    <sheetView topLeftCell="A19" workbookViewId="0">
      <selection activeCell="A34" sqref="A33:H34"/>
    </sheetView>
  </sheetViews>
  <sheetFormatPr defaultColWidth="9" defaultRowHeight="14"/>
  <cols>
    <col min="1" max="1" width="7.08984375" customWidth="1"/>
    <col min="2" max="2" width="31.36328125" customWidth="1"/>
    <col min="3" max="3" width="27.08984375" customWidth="1"/>
    <col min="4" max="4" width="8.7265625" customWidth="1"/>
    <col min="5" max="5" width="14.6328125" customWidth="1"/>
    <col min="6" max="6" width="18.26953125" customWidth="1"/>
    <col min="7" max="7" width="21.453125" style="4" customWidth="1"/>
    <col min="8" max="8" width="29.453125" customWidth="1"/>
  </cols>
  <sheetData>
    <row r="1" spans="1:8" ht="15">
      <c r="A1" s="206" t="s">
        <v>141</v>
      </c>
      <c r="B1" s="206"/>
      <c r="C1" s="206"/>
      <c r="D1" s="206"/>
      <c r="E1" s="206"/>
      <c r="F1" s="206"/>
      <c r="G1" s="206"/>
      <c r="H1" s="206"/>
    </row>
    <row r="2" spans="1:8" ht="15">
      <c r="A2" s="207" t="s">
        <v>142</v>
      </c>
      <c r="B2" s="208"/>
      <c r="C2" s="208"/>
      <c r="D2" s="208"/>
      <c r="E2" s="208"/>
      <c r="F2" s="208"/>
      <c r="G2" s="208"/>
      <c r="H2" s="209"/>
    </row>
    <row r="3" spans="1:8">
      <c r="A3" s="22" t="s">
        <v>15</v>
      </c>
      <c r="B3" s="23" t="s">
        <v>143</v>
      </c>
      <c r="C3" s="23"/>
      <c r="D3" s="23"/>
      <c r="E3" s="23"/>
      <c r="F3" s="23"/>
      <c r="G3" s="8" t="s">
        <v>21</v>
      </c>
      <c r="H3" s="24" t="s">
        <v>4</v>
      </c>
    </row>
    <row r="4" spans="1:8">
      <c r="A4" s="25"/>
      <c r="B4" s="26" t="s">
        <v>144</v>
      </c>
      <c r="C4" s="26"/>
      <c r="D4" s="26"/>
      <c r="E4" s="26"/>
      <c r="F4" s="26"/>
      <c r="G4" s="27"/>
      <c r="H4" s="28"/>
    </row>
    <row r="5" spans="1:8">
      <c r="A5" s="29">
        <v>1</v>
      </c>
      <c r="B5" s="26" t="s">
        <v>6</v>
      </c>
      <c r="C5" s="26"/>
      <c r="D5" s="26"/>
      <c r="E5" s="26"/>
      <c r="F5" s="26"/>
      <c r="G5" s="30">
        <f>硬件设备购置费!G30</f>
        <v>0</v>
      </c>
      <c r="H5" s="31"/>
    </row>
    <row r="6" spans="1:8">
      <c r="A6" s="29">
        <v>2</v>
      </c>
      <c r="B6" s="26" t="s">
        <v>9</v>
      </c>
      <c r="C6" s="26"/>
      <c r="D6" s="26"/>
      <c r="E6" s="26"/>
      <c r="F6" s="26"/>
      <c r="G6" s="30">
        <f>'定制软件开发费（功能点法）'!D26</f>
        <v>297669.27144999988</v>
      </c>
      <c r="H6" s="31"/>
    </row>
    <row r="7" spans="1:8" s="21" customFormat="1">
      <c r="A7" s="32"/>
      <c r="B7" s="33" t="s">
        <v>145</v>
      </c>
      <c r="C7" s="33"/>
      <c r="D7" s="33"/>
      <c r="E7" s="33"/>
      <c r="F7" s="33"/>
      <c r="G7" s="34">
        <f>SUM(G5:G6)</f>
        <v>297669.27144999988</v>
      </c>
      <c r="H7" s="35"/>
    </row>
    <row r="8" spans="1:8" ht="45" customHeight="1">
      <c r="A8" s="36"/>
      <c r="B8" s="37" t="s">
        <v>146</v>
      </c>
      <c r="C8" s="37"/>
      <c r="D8" s="37"/>
      <c r="E8" s="37"/>
      <c r="F8" s="37"/>
      <c r="G8" s="38">
        <f>(G5)*0.04+G6*0.06</f>
        <v>17860.156286999991</v>
      </c>
      <c r="H8" s="39" t="s">
        <v>147</v>
      </c>
    </row>
    <row r="9" spans="1:8">
      <c r="A9" s="40"/>
      <c r="B9" s="210" t="s">
        <v>148</v>
      </c>
      <c r="C9" s="211"/>
      <c r="D9" s="211"/>
      <c r="E9" s="211"/>
      <c r="F9" s="211"/>
      <c r="G9" s="211"/>
      <c r="H9" s="212"/>
    </row>
    <row r="10" spans="1:8" ht="32" customHeight="1">
      <c r="A10" s="41" t="s">
        <v>15</v>
      </c>
      <c r="B10" s="42" t="s">
        <v>143</v>
      </c>
      <c r="C10" s="42" t="s">
        <v>140</v>
      </c>
      <c r="D10" s="42" t="s">
        <v>18</v>
      </c>
      <c r="E10" s="42" t="s">
        <v>149</v>
      </c>
      <c r="F10" s="43" t="s">
        <v>150</v>
      </c>
      <c r="G10" s="44" t="s">
        <v>21</v>
      </c>
      <c r="H10" s="24" t="s">
        <v>4</v>
      </c>
    </row>
    <row r="11" spans="1:8" ht="24" customHeight="1">
      <c r="A11" s="29">
        <v>1</v>
      </c>
      <c r="B11" s="26" t="s">
        <v>151</v>
      </c>
      <c r="C11" s="26"/>
      <c r="D11" s="26"/>
      <c r="E11" s="26"/>
      <c r="F11" s="26"/>
      <c r="G11" s="45"/>
      <c r="H11" s="46"/>
    </row>
    <row r="12" spans="1:8" ht="24" customHeight="1">
      <c r="A12" s="29">
        <v>1.1000000000000001</v>
      </c>
      <c r="B12" s="26" t="s">
        <v>152</v>
      </c>
      <c r="C12" s="26"/>
      <c r="D12" s="26"/>
      <c r="E12" s="26">
        <v>0</v>
      </c>
      <c r="F12" s="26">
        <v>21300</v>
      </c>
      <c r="G12" s="45">
        <f>E12*F12</f>
        <v>0</v>
      </c>
      <c r="H12" s="47"/>
    </row>
    <row r="13" spans="1:8" ht="24" customHeight="1">
      <c r="A13" s="29">
        <v>1.2</v>
      </c>
      <c r="B13" s="26" t="s">
        <v>152</v>
      </c>
      <c r="C13" s="26"/>
      <c r="D13" s="26"/>
      <c r="E13" s="26">
        <v>0</v>
      </c>
      <c r="F13" s="26">
        <v>21300</v>
      </c>
      <c r="G13" s="45">
        <f>E13*F13</f>
        <v>0</v>
      </c>
      <c r="H13" s="47"/>
    </row>
    <row r="14" spans="1:8" ht="24" customHeight="1">
      <c r="A14" s="29" t="s">
        <v>59</v>
      </c>
      <c r="B14" s="26"/>
      <c r="C14" s="26"/>
      <c r="D14" s="26"/>
      <c r="E14" s="26"/>
      <c r="F14" s="26"/>
      <c r="G14" s="45"/>
      <c r="H14" s="47"/>
    </row>
    <row r="15" spans="1:8" ht="30" customHeight="1">
      <c r="A15" s="48">
        <v>2</v>
      </c>
      <c r="B15" s="49" t="s">
        <v>153</v>
      </c>
      <c r="C15" s="49"/>
      <c r="D15" s="49"/>
      <c r="E15" s="49"/>
      <c r="F15" s="49"/>
      <c r="G15" s="50"/>
      <c r="H15" s="51"/>
    </row>
    <row r="16" spans="1:8" ht="21" customHeight="1">
      <c r="A16" s="48">
        <v>2.1</v>
      </c>
      <c r="B16" s="49"/>
      <c r="C16" s="49"/>
      <c r="D16" s="49"/>
      <c r="E16" s="49"/>
      <c r="F16" s="49"/>
      <c r="G16" s="50"/>
      <c r="H16" s="51"/>
    </row>
    <row r="17" spans="1:8" ht="21" customHeight="1">
      <c r="A17" s="48">
        <v>2.2000000000000002</v>
      </c>
      <c r="B17" s="49"/>
      <c r="C17" s="49"/>
      <c r="D17" s="49"/>
      <c r="E17" s="49"/>
      <c r="F17" s="49"/>
      <c r="G17" s="50"/>
      <c r="H17" s="51"/>
    </row>
    <row r="18" spans="1:8" ht="20" customHeight="1">
      <c r="A18" s="48" t="s">
        <v>59</v>
      </c>
      <c r="B18" s="49"/>
      <c r="C18" s="49"/>
      <c r="D18" s="49"/>
      <c r="E18" s="49"/>
      <c r="F18" s="49"/>
      <c r="G18" s="50"/>
      <c r="H18" s="51"/>
    </row>
    <row r="19" spans="1:8" ht="25" customHeight="1">
      <c r="A19" s="48">
        <v>3</v>
      </c>
      <c r="B19" s="49" t="s">
        <v>154</v>
      </c>
      <c r="C19" s="49"/>
      <c r="D19" s="49"/>
      <c r="E19" s="49"/>
      <c r="F19" s="49"/>
      <c r="G19" s="50"/>
      <c r="H19" s="52"/>
    </row>
    <row r="20" spans="1:8" ht="25" customHeight="1">
      <c r="A20" s="48">
        <v>3.1</v>
      </c>
      <c r="B20" s="49"/>
      <c r="C20" s="49"/>
      <c r="D20" s="49"/>
      <c r="E20" s="49"/>
      <c r="F20" s="49"/>
      <c r="G20" s="50"/>
      <c r="H20" s="52"/>
    </row>
    <row r="21" spans="1:8" ht="25" customHeight="1">
      <c r="A21" s="48">
        <v>3.2</v>
      </c>
      <c r="B21" s="49"/>
      <c r="C21" s="49"/>
      <c r="D21" s="49"/>
      <c r="E21" s="49"/>
      <c r="F21" s="49"/>
      <c r="G21" s="50"/>
      <c r="H21" s="52"/>
    </row>
    <row r="22" spans="1:8" ht="19" customHeight="1">
      <c r="A22" s="53" t="s">
        <v>59</v>
      </c>
      <c r="B22" s="49"/>
      <c r="C22" s="49"/>
      <c r="D22" s="49"/>
      <c r="E22" s="49"/>
      <c r="F22" s="49"/>
      <c r="G22" s="50"/>
      <c r="H22" s="52"/>
    </row>
    <row r="23" spans="1:8" ht="18" customHeight="1">
      <c r="A23" s="48">
        <v>4</v>
      </c>
      <c r="B23" s="49" t="s">
        <v>155</v>
      </c>
      <c r="C23" s="49"/>
      <c r="D23" s="49"/>
      <c r="E23" s="49"/>
      <c r="F23" s="49"/>
      <c r="G23" s="50"/>
      <c r="H23" s="46"/>
    </row>
    <row r="24" spans="1:8" ht="18" customHeight="1">
      <c r="A24" s="48">
        <v>4.0999999999999996</v>
      </c>
      <c r="B24" s="49"/>
      <c r="C24" s="49"/>
      <c r="D24" s="49"/>
      <c r="E24" s="49"/>
      <c r="F24" s="49"/>
      <c r="G24" s="50"/>
      <c r="H24" s="46"/>
    </row>
    <row r="25" spans="1:8" ht="18" customHeight="1">
      <c r="A25" s="48">
        <v>4.2</v>
      </c>
      <c r="B25" s="49"/>
      <c r="C25" s="49"/>
      <c r="D25" s="49"/>
      <c r="E25" s="49"/>
      <c r="F25" s="49"/>
      <c r="G25" s="50"/>
      <c r="H25" s="46"/>
    </row>
    <row r="26" spans="1:8" ht="18" customHeight="1">
      <c r="A26" s="48" t="s">
        <v>59</v>
      </c>
      <c r="B26" s="49"/>
      <c r="C26" s="49"/>
      <c r="D26" s="49"/>
      <c r="E26" s="49"/>
      <c r="F26" s="49"/>
      <c r="G26" s="50"/>
      <c r="H26" s="46"/>
    </row>
    <row r="27" spans="1:8" ht="30.5" customHeight="1">
      <c r="A27" s="48">
        <v>5</v>
      </c>
      <c r="B27" s="49" t="s">
        <v>156</v>
      </c>
      <c r="C27" s="49"/>
      <c r="D27" s="49"/>
      <c r="E27" s="49"/>
      <c r="F27" s="49"/>
      <c r="G27" s="50"/>
      <c r="H27" s="46"/>
    </row>
    <row r="28" spans="1:8" ht="24" customHeight="1">
      <c r="A28" s="48">
        <v>6</v>
      </c>
      <c r="B28" s="49" t="s">
        <v>157</v>
      </c>
      <c r="C28" s="49"/>
      <c r="D28" s="49"/>
      <c r="E28" s="49"/>
      <c r="F28" s="49"/>
      <c r="G28" s="50"/>
      <c r="H28" s="54"/>
    </row>
    <row r="29" spans="1:8" s="1" customFormat="1" ht="44.5" customHeight="1">
      <c r="A29" s="48">
        <v>7</v>
      </c>
      <c r="B29" s="49" t="s">
        <v>158</v>
      </c>
      <c r="C29" s="49"/>
      <c r="D29" s="49"/>
      <c r="E29" s="49"/>
      <c r="F29" s="49"/>
      <c r="G29" s="50"/>
      <c r="H29" s="54"/>
    </row>
    <row r="30" spans="1:8" s="1" customFormat="1" ht="22" customHeight="1">
      <c r="A30" s="10" t="s">
        <v>31</v>
      </c>
      <c r="B30" s="11"/>
      <c r="C30" s="11"/>
      <c r="D30" s="11"/>
      <c r="E30" s="11"/>
      <c r="F30" s="11"/>
      <c r="G30" s="50"/>
      <c r="H30" s="54"/>
    </row>
    <row r="31" spans="1:8">
      <c r="A31" s="48" t="s">
        <v>36</v>
      </c>
      <c r="B31" s="49" t="s">
        <v>31</v>
      </c>
      <c r="C31" s="49"/>
      <c r="D31" s="49"/>
      <c r="E31" s="49"/>
      <c r="F31" s="49"/>
      <c r="G31" s="50"/>
      <c r="H31" s="46"/>
    </row>
    <row r="32" spans="1:8">
      <c r="A32" s="48"/>
      <c r="B32" s="55" t="s">
        <v>159</v>
      </c>
      <c r="C32" s="55"/>
      <c r="D32" s="55"/>
      <c r="E32" s="55"/>
      <c r="F32" s="55"/>
      <c r="G32" s="56">
        <f>SUM(G11:G31)</f>
        <v>0</v>
      </c>
      <c r="H32" s="54"/>
    </row>
    <row r="33" spans="1:8">
      <c r="A33" s="57"/>
      <c r="B33" s="58" t="s">
        <v>13</v>
      </c>
      <c r="C33" s="58"/>
      <c r="D33" s="58"/>
      <c r="E33" s="58"/>
      <c r="F33" s="58"/>
      <c r="G33" s="59">
        <f>G8+G32</f>
        <v>17860.156286999991</v>
      </c>
      <c r="H33" s="60"/>
    </row>
    <row r="34" spans="1:8" s="2" customFormat="1" ht="67.5" customHeight="1">
      <c r="A34" s="213" t="s">
        <v>160</v>
      </c>
      <c r="B34" s="213"/>
      <c r="C34" s="213"/>
      <c r="D34" s="213"/>
      <c r="E34" s="213"/>
      <c r="F34" s="213"/>
      <c r="G34" s="213"/>
      <c r="H34" s="213"/>
    </row>
    <row r="35" spans="1:8" s="1" customFormat="1" ht="13.5" customHeight="1">
      <c r="A35" s="168" t="s">
        <v>161</v>
      </c>
      <c r="B35" s="168"/>
      <c r="C35" s="168"/>
      <c r="D35" s="168"/>
      <c r="E35" s="168"/>
      <c r="F35" s="168"/>
      <c r="G35" s="168"/>
      <c r="H35" s="168"/>
    </row>
    <row r="36" spans="1:8" ht="13.5" customHeight="1">
      <c r="A36" s="205" t="s">
        <v>161</v>
      </c>
      <c r="B36" s="205"/>
      <c r="C36" s="205"/>
      <c r="D36" s="205"/>
      <c r="E36" s="205"/>
      <c r="F36" s="205"/>
      <c r="G36" s="205"/>
      <c r="H36" s="205"/>
    </row>
    <row r="37" spans="1:8" ht="13.5" customHeight="1"/>
    <row r="51" spans="2:7">
      <c r="G51" s="19"/>
    </row>
    <row r="53" spans="2:7">
      <c r="B53" s="20"/>
      <c r="C53" s="20"/>
      <c r="D53" s="20"/>
      <c r="E53" s="20"/>
      <c r="F53" s="20"/>
    </row>
  </sheetData>
  <mergeCells count="6">
    <mergeCell ref="A36:H36"/>
    <mergeCell ref="A1:H1"/>
    <mergeCell ref="A2:H2"/>
    <mergeCell ref="B9:H9"/>
    <mergeCell ref="A34:H34"/>
    <mergeCell ref="A35:H35"/>
  </mergeCells>
  <phoneticPr fontId="33" type="noConversion"/>
  <pageMargins left="0.69930555555555596" right="0.69930555555555596" top="0.75" bottom="0.75" header="0.3" footer="0.3"/>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1"/>
  <sheetViews>
    <sheetView topLeftCell="A7" workbookViewId="0">
      <selection activeCell="D17" sqref="D17"/>
    </sheetView>
  </sheetViews>
  <sheetFormatPr defaultColWidth="9" defaultRowHeight="14"/>
  <cols>
    <col min="1" max="1" width="7.08984375" customWidth="1"/>
    <col min="2" max="2" width="28.36328125" customWidth="1"/>
    <col min="3" max="3" width="34.1796875" style="3" customWidth="1"/>
    <col min="4" max="4" width="19.1796875" style="4" customWidth="1"/>
    <col min="5" max="5" width="41.7265625" customWidth="1"/>
  </cols>
  <sheetData>
    <row r="1" spans="1:5" ht="15">
      <c r="A1" s="214" t="s">
        <v>162</v>
      </c>
      <c r="B1" s="214"/>
      <c r="C1" s="214"/>
      <c r="D1" s="214"/>
      <c r="E1" s="215"/>
    </row>
    <row r="2" spans="1:5" ht="23" customHeight="1">
      <c r="A2" s="5" t="s">
        <v>15</v>
      </c>
      <c r="B2" s="6" t="s">
        <v>143</v>
      </c>
      <c r="C2" s="7" t="s">
        <v>163</v>
      </c>
      <c r="D2" s="8" t="s">
        <v>21</v>
      </c>
      <c r="E2" s="9" t="s">
        <v>4</v>
      </c>
    </row>
    <row r="3" spans="1:5" ht="52" customHeight="1">
      <c r="A3" s="10">
        <v>1</v>
      </c>
      <c r="B3" s="11" t="s">
        <v>164</v>
      </c>
      <c r="C3" s="12" t="s">
        <v>165</v>
      </c>
      <c r="D3" s="13">
        <v>0</v>
      </c>
      <c r="E3" s="14" t="s">
        <v>166</v>
      </c>
    </row>
    <row r="4" spans="1:5" ht="39" customHeight="1">
      <c r="A4" s="10">
        <v>2</v>
      </c>
      <c r="B4" s="11" t="s">
        <v>167</v>
      </c>
      <c r="C4" s="12" t="s">
        <v>168</v>
      </c>
      <c r="D4" s="13">
        <v>0</v>
      </c>
      <c r="E4" s="14" t="s">
        <v>169</v>
      </c>
    </row>
    <row r="5" spans="1:5" ht="39" customHeight="1">
      <c r="A5" s="10">
        <v>3</v>
      </c>
      <c r="B5" s="11" t="s">
        <v>170</v>
      </c>
      <c r="C5" s="12" t="s">
        <v>168</v>
      </c>
      <c r="D5" s="13">
        <v>0</v>
      </c>
      <c r="E5" s="14" t="s">
        <v>171</v>
      </c>
    </row>
    <row r="6" spans="1:5" ht="39" customHeight="1">
      <c r="A6" s="10">
        <v>4</v>
      </c>
      <c r="B6" s="11" t="s">
        <v>172</v>
      </c>
      <c r="C6" s="12" t="s">
        <v>168</v>
      </c>
      <c r="D6" s="13">
        <v>0</v>
      </c>
      <c r="E6" s="14" t="s">
        <v>171</v>
      </c>
    </row>
    <row r="7" spans="1:5" s="1" customFormat="1" ht="39" customHeight="1">
      <c r="A7" s="10">
        <v>5</v>
      </c>
      <c r="B7" s="11" t="s">
        <v>173</v>
      </c>
      <c r="C7" s="12" t="s">
        <v>168</v>
      </c>
      <c r="D7" s="13">
        <v>0</v>
      </c>
      <c r="E7" s="15" t="s">
        <v>174</v>
      </c>
    </row>
    <row r="8" spans="1:5" s="1" customFormat="1" ht="68" customHeight="1">
      <c r="A8" s="10">
        <v>6</v>
      </c>
      <c r="B8" s="11" t="s">
        <v>175</v>
      </c>
      <c r="C8" s="12" t="s">
        <v>176</v>
      </c>
      <c r="D8" s="13">
        <v>0</v>
      </c>
      <c r="E8" s="16" t="s">
        <v>177</v>
      </c>
    </row>
    <row r="9" spans="1:5" s="1" customFormat="1" ht="71" customHeight="1">
      <c r="A9" s="10">
        <v>7</v>
      </c>
      <c r="B9" s="11" t="s">
        <v>178</v>
      </c>
      <c r="C9" s="12" t="s">
        <v>176</v>
      </c>
      <c r="D9" s="13">
        <v>0</v>
      </c>
      <c r="E9" s="16" t="s">
        <v>177</v>
      </c>
    </row>
    <row r="10" spans="1:5" ht="33" customHeight="1">
      <c r="A10" s="10">
        <v>8</v>
      </c>
      <c r="B10" s="11" t="s">
        <v>59</v>
      </c>
      <c r="C10" s="12"/>
      <c r="D10" s="13"/>
      <c r="E10" s="14"/>
    </row>
    <row r="11" spans="1:5" ht="24" customHeight="1">
      <c r="A11" s="10"/>
      <c r="B11" s="17" t="s">
        <v>39</v>
      </c>
      <c r="C11" s="12"/>
      <c r="D11" s="18">
        <f>SUM(D3:D9)</f>
        <v>0</v>
      </c>
      <c r="E11" s="16"/>
    </row>
    <row r="12" spans="1:5" s="2" customFormat="1" ht="67.5" customHeight="1">
      <c r="A12"/>
      <c r="B12"/>
      <c r="C12" s="3"/>
      <c r="D12" s="4"/>
      <c r="E12"/>
    </row>
    <row r="13" spans="1:5" s="1" customFormat="1" ht="68.25" customHeight="1">
      <c r="A13" s="216" t="s">
        <v>187</v>
      </c>
      <c r="B13" s="216"/>
      <c r="C13" s="216"/>
      <c r="D13" s="216"/>
      <c r="E13" s="216"/>
    </row>
    <row r="14" spans="1:5" ht="13.5" customHeight="1">
      <c r="A14" s="205" t="s">
        <v>161</v>
      </c>
      <c r="B14" s="205"/>
      <c r="C14" s="205"/>
      <c r="D14" s="205"/>
      <c r="E14" s="205"/>
    </row>
    <row r="15" spans="1:5" ht="13.5" customHeight="1"/>
    <row r="29" spans="2:4">
      <c r="D29" s="19"/>
    </row>
    <row r="31" spans="2:4">
      <c r="B31" s="20"/>
    </row>
  </sheetData>
  <mergeCells count="3">
    <mergeCell ref="A1:E1"/>
    <mergeCell ref="A13:E13"/>
    <mergeCell ref="A14:E14"/>
  </mergeCells>
  <phoneticPr fontId="33" type="noConversion"/>
  <pageMargins left="0.69930555555555596" right="0.69930555555555596"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9</vt:i4>
      </vt:variant>
    </vt:vector>
  </HeadingPairs>
  <TitlesOfParts>
    <vt:vector size="9" baseType="lpstr">
      <vt:lpstr>汇总</vt:lpstr>
      <vt:lpstr>硬件设备购置费</vt:lpstr>
      <vt:lpstr>定制软件开发功能点明细表(预估）</vt:lpstr>
      <vt:lpstr>定制软件开发费（功能点法）</vt:lpstr>
      <vt:lpstr>定制软件开发功能点明细表(估算）</vt:lpstr>
      <vt:lpstr>定制软件开发费（功能点法） (估算）</vt:lpstr>
      <vt:lpstr>定制软件开发费（专家经验法）</vt:lpstr>
      <vt:lpstr>系统集成实施费与其他费</vt:lpstr>
      <vt:lpstr>项目建设其他费</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dc:creator>
  <cp:lastModifiedBy>DLL</cp:lastModifiedBy>
  <cp:lastPrinted>2021-03-18T02:35:00Z</cp:lastPrinted>
  <dcterms:created xsi:type="dcterms:W3CDTF">2016-12-18T00:14:00Z</dcterms:created>
  <dcterms:modified xsi:type="dcterms:W3CDTF">2022-02-09T09:10:12Z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2052-11.1.0.10314</vt:lpwstr>
  </property>
  <property fmtid="{D5CDD505-2E9C-101B-9397-08002B2CF9AE}" pid="3" name="ICV">
    <vt:lpwstr>645C1E3C538E4E78B4FFAC6751BBD368</vt:lpwstr>
  </property>
</Properties>
</file>