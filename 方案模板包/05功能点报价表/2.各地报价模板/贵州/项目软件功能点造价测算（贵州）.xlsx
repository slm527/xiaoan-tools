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40" firstSheet="1" activeTab="1"/>
  </bookViews>
  <sheets>
    <sheet name="软件开发评审明细表" sheetId="2" state="hidden" r:id="rId1"/>
    <sheet name="XXX系统功能点" sheetId="7" r:id="rId2"/>
    <sheet name="调整因子" sheetId="4" r:id="rId3"/>
    <sheet name="功能点测算规模、工作量、工期、费用表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参考重庆市CIO协会发布的《信息化项目软件开发费用测算规范V5.0》，预算阶段取值1.26</t>
        </r>
      </text>
    </comment>
  </commentList>
</comments>
</file>

<file path=xl/sharedStrings.xml><?xml version="1.0" encoding="utf-8"?>
<sst xmlns="http://schemas.openxmlformats.org/spreadsheetml/2006/main" count="457" uniqueCount="316">
  <si>
    <t>序号</t>
  </si>
  <si>
    <t>应用系统名称</t>
  </si>
  <si>
    <t>送审信息</t>
  </si>
  <si>
    <t>审定信息</t>
  </si>
  <si>
    <t>工作量核算（人月）</t>
  </si>
  <si>
    <t>人力单价（万元/人月）</t>
  </si>
  <si>
    <t>总价</t>
  </si>
  <si>
    <t>增（+）减（-）</t>
  </si>
  <si>
    <t>审减比例</t>
  </si>
  <si>
    <t>评审说明</t>
  </si>
  <si>
    <t>需求分析与建模设计</t>
  </si>
  <si>
    <t>程序开发</t>
  </si>
  <si>
    <t>软件测试与部署</t>
  </si>
  <si>
    <t>小计</t>
  </si>
  <si>
    <t>（万元）</t>
  </si>
  <si>
    <t>金额（万元）</t>
  </si>
  <si>
    <t>%</t>
  </si>
  <si>
    <t>总计</t>
  </si>
  <si>
    <t>一</t>
  </si>
  <si>
    <t>贵州省综合考核数据管理平台</t>
  </si>
  <si>
    <t>组织机构管理</t>
  </si>
  <si>
    <t>机构信息维护</t>
  </si>
  <si>
    <t>机构批量导入</t>
  </si>
  <si>
    <t>机构标签</t>
  </si>
  <si>
    <t>机构排序</t>
  </si>
  <si>
    <t>机构查询</t>
  </si>
  <si>
    <t>干部信息维护</t>
  </si>
  <si>
    <t>干部库数据对接</t>
  </si>
  <si>
    <t>干部信息模板导入</t>
  </si>
  <si>
    <t>干部排序调整</t>
  </si>
  <si>
    <t>工作基本信息管理</t>
  </si>
  <si>
    <t>调整人员部门</t>
  </si>
  <si>
    <t>考核框架管理</t>
  </si>
  <si>
    <t>测评表管理</t>
  </si>
  <si>
    <t>测评表分组</t>
  </si>
  <si>
    <t>测评表项目灵活设置</t>
  </si>
  <si>
    <t>多类测评题目</t>
  </si>
  <si>
    <t>指标表管理</t>
  </si>
  <si>
    <t>指标表导入识别</t>
  </si>
  <si>
    <t>指标表信息维护</t>
  </si>
  <si>
    <t>得分表管理</t>
  </si>
  <si>
    <t>问卷表管理</t>
  </si>
  <si>
    <t>框架信息维护</t>
  </si>
  <si>
    <t>图形化构建框架体系</t>
  </si>
  <si>
    <t>多类考核节点设置</t>
  </si>
  <si>
    <t>公式设置</t>
  </si>
  <si>
    <t>公式状态展示</t>
  </si>
  <si>
    <t>工作快照库管理</t>
  </si>
  <si>
    <t>人事调动</t>
  </si>
  <si>
    <t>被评对象设置</t>
  </si>
  <si>
    <t>被评对象查找</t>
  </si>
  <si>
    <t>等次设置</t>
  </si>
  <si>
    <t>等次转换方式</t>
  </si>
  <si>
    <t>比例规则设置</t>
  </si>
  <si>
    <t>影响规则设置</t>
  </si>
  <si>
    <t>联动规则设置</t>
  </si>
  <si>
    <t>数据管理</t>
  </si>
  <si>
    <t>数据规则</t>
  </si>
  <si>
    <t>数据包导入</t>
  </si>
  <si>
    <t>Excel数据导入</t>
  </si>
  <si>
    <t>多次数据导入</t>
  </si>
  <si>
    <t>数据清洗</t>
  </si>
  <si>
    <t>未识别清单</t>
  </si>
  <si>
    <t>人工处理</t>
  </si>
  <si>
    <t>智能识别清单</t>
  </si>
  <si>
    <t>手动调整</t>
  </si>
  <si>
    <t>数据异常分析</t>
  </si>
  <si>
    <t>数据流向清单</t>
  </si>
  <si>
    <t>数据运算</t>
  </si>
  <si>
    <t>工作归档</t>
  </si>
  <si>
    <t>表源数据查询</t>
  </si>
  <si>
    <t>被评对象查询</t>
  </si>
  <si>
    <t>考核成果查询</t>
  </si>
  <si>
    <t>考核结果评定</t>
  </si>
  <si>
    <t>考核成果数据</t>
  </si>
  <si>
    <t>领导视图</t>
  </si>
  <si>
    <t>数据驾驶舱</t>
  </si>
  <si>
    <t>班子对比分析</t>
  </si>
  <si>
    <t>干部对比分析</t>
  </si>
  <si>
    <t>决策辅助分析</t>
  </si>
  <si>
    <t>班子辅助决策分析</t>
  </si>
  <si>
    <t>班子考核结果画像</t>
  </si>
  <si>
    <t>干部辅助决策分析</t>
  </si>
  <si>
    <t>干部考核结果画像</t>
  </si>
  <si>
    <t>班子推荐</t>
  </si>
  <si>
    <t>干部推荐</t>
  </si>
  <si>
    <t>自定义报表</t>
  </si>
  <si>
    <t>报表新建</t>
  </si>
  <si>
    <t>在线设计工具</t>
  </si>
  <si>
    <t>快速生成报表</t>
  </si>
  <si>
    <t>报表导出</t>
  </si>
  <si>
    <t>系统管理</t>
  </si>
  <si>
    <t>机构标签管理</t>
  </si>
  <si>
    <t>用户管理</t>
  </si>
  <si>
    <t>三员分立权限管理</t>
  </si>
  <si>
    <t>全程留痕</t>
  </si>
  <si>
    <t>参数设置</t>
  </si>
  <si>
    <t>二</t>
  </si>
  <si>
    <t>贵州省综合考核指标体系管理系统</t>
  </si>
  <si>
    <t>指标流程管理（自上而下模式）</t>
  </si>
  <si>
    <t>参评范围管理</t>
  </si>
  <si>
    <t>指标分类管理</t>
  </si>
  <si>
    <t>指标行列设置</t>
  </si>
  <si>
    <t>审核单位管理</t>
  </si>
  <si>
    <t>指标加减分机制设置</t>
  </si>
  <si>
    <t>指标得分公式设置</t>
  </si>
  <si>
    <t>指标制定及分发</t>
  </si>
  <si>
    <t>指标表预览</t>
  </si>
  <si>
    <t>指标填报审核时间管理</t>
  </si>
  <si>
    <t>指标支撑材料填报</t>
  </si>
  <si>
    <t>多格式附件上传</t>
  </si>
  <si>
    <t>指标材料总数</t>
  </si>
  <si>
    <t>指标填报数据包导出</t>
  </si>
  <si>
    <t>指标填报数据包导入</t>
  </si>
  <si>
    <t>指标审核打分</t>
  </si>
  <si>
    <t>审核电子档案</t>
  </si>
  <si>
    <t>文件审核</t>
  </si>
  <si>
    <t>审核数据包导出</t>
  </si>
  <si>
    <t>审核数据包导入</t>
  </si>
  <si>
    <t>指标复审打分</t>
  </si>
  <si>
    <t>文件复审</t>
  </si>
  <si>
    <t>附件在线预览</t>
  </si>
  <si>
    <t>附件下载</t>
  </si>
  <si>
    <t>待办事项</t>
  </si>
  <si>
    <t>指标流程管理（自下而上模式）</t>
  </si>
  <si>
    <t>指标上报</t>
  </si>
  <si>
    <t>指标审核</t>
  </si>
  <si>
    <t>进度监控</t>
  </si>
  <si>
    <t>指标填报预警</t>
  </si>
  <si>
    <t>填报进度查询</t>
  </si>
  <si>
    <t>指标审核预警</t>
  </si>
  <si>
    <t>审核进度查询</t>
  </si>
  <si>
    <t>查询与统计</t>
  </si>
  <si>
    <t>指标表得分计算</t>
  </si>
  <si>
    <t>指标结果查询</t>
  </si>
  <si>
    <t>调整得分</t>
  </si>
  <si>
    <t>指标得分清单导出</t>
  </si>
  <si>
    <t>得分核对</t>
  </si>
  <si>
    <t>得分异议申请</t>
  </si>
  <si>
    <t>单位得分查询</t>
  </si>
  <si>
    <t>结果数据包管理</t>
  </si>
  <si>
    <t>考核总分概况</t>
  </si>
  <si>
    <t>指标对比分析</t>
  </si>
  <si>
    <t>单位对比分析</t>
  </si>
  <si>
    <t>单位数字画像</t>
  </si>
  <si>
    <t>历年考核分析</t>
  </si>
  <si>
    <t>趋势分析</t>
  </si>
  <si>
    <t>三</t>
  </si>
  <si>
    <t>贵州省综合考核</t>
  </si>
  <si>
    <t>平时考核监测系统</t>
  </si>
  <si>
    <t>平时考核管理</t>
  </si>
  <si>
    <t>目标值设定</t>
  </si>
  <si>
    <t>目标值模板导入</t>
  </si>
  <si>
    <t>目标工作组合检索</t>
  </si>
  <si>
    <t>指标工作同步</t>
  </si>
  <si>
    <t>指标工作更新</t>
  </si>
  <si>
    <t>完成情况计算</t>
  </si>
  <si>
    <t>季度监测</t>
  </si>
  <si>
    <t>季度监测管理</t>
  </si>
  <si>
    <t>季度监测组合检索</t>
  </si>
  <si>
    <t>季度监测上报</t>
  </si>
  <si>
    <t>季度监测定量数据审核</t>
  </si>
  <si>
    <t>季度监测定性数据审核</t>
  </si>
  <si>
    <t>季度监测Excel数据审核</t>
  </si>
  <si>
    <t>季度监测定量数据复审</t>
  </si>
  <si>
    <t>季度监测Excel数据复审</t>
  </si>
  <si>
    <t>季度监测进度预警</t>
  </si>
  <si>
    <t>季度监测进度查询</t>
  </si>
  <si>
    <t>半年评估</t>
  </si>
  <si>
    <t>半年评估管理</t>
  </si>
  <si>
    <t>半年评估组合检索</t>
  </si>
  <si>
    <t>半年评估上报</t>
  </si>
  <si>
    <t>半年评估定量数据审核</t>
  </si>
  <si>
    <t>半年评估定性数据审核</t>
  </si>
  <si>
    <t>半年评估Excel数据审核</t>
  </si>
  <si>
    <t>半年评估定量数据复审</t>
  </si>
  <si>
    <t>半年评估Excel数据复审</t>
  </si>
  <si>
    <t>半年评估进度预警</t>
  </si>
  <si>
    <t>半年评估进度查询</t>
  </si>
  <si>
    <t>平时监测</t>
  </si>
  <si>
    <t>预警监测</t>
  </si>
  <si>
    <t>预警监测概况</t>
  </si>
  <si>
    <t>多项监测严重不达标清单</t>
  </si>
  <si>
    <t>重点关注指标项监测清单</t>
  </si>
  <si>
    <t>连续多次严重不达标清单</t>
  </si>
  <si>
    <t>正向完成好的清单</t>
  </si>
  <si>
    <t>预警监测条件查询</t>
  </si>
  <si>
    <t>预警监测按部门查</t>
  </si>
  <si>
    <t>预警监测按批次查</t>
  </si>
  <si>
    <t>预警监测按指标查</t>
  </si>
  <si>
    <t>预警监测数据反查</t>
  </si>
  <si>
    <t>预警监测清单</t>
  </si>
  <si>
    <t>动态数据监控</t>
  </si>
  <si>
    <t>动态监控概况</t>
  </si>
  <si>
    <t>负向监控预警</t>
  </si>
  <si>
    <t>正向监控预警</t>
  </si>
  <si>
    <t>重点关注预警</t>
  </si>
  <si>
    <t>清单分类</t>
  </si>
  <si>
    <t>动态考核数直接录入</t>
  </si>
  <si>
    <t>动态考核数模板导入</t>
  </si>
  <si>
    <t>动态考核数接口对接</t>
  </si>
  <si>
    <t>动态考核清单维护</t>
  </si>
  <si>
    <t>动态考核数据组合查询</t>
  </si>
  <si>
    <t>动态考核数据详情</t>
  </si>
  <si>
    <t>动态考核统计分析</t>
  </si>
  <si>
    <t>平时填报结果查询</t>
  </si>
  <si>
    <t>平时填报结果清单</t>
  </si>
  <si>
    <t>结果导出</t>
  </si>
  <si>
    <t>四</t>
  </si>
  <si>
    <t>贵州省综合考核单机离线数据采集系统</t>
  </si>
  <si>
    <t>测评表数据源</t>
  </si>
  <si>
    <t>组织机构数据</t>
  </si>
  <si>
    <t>干部信息数据</t>
  </si>
  <si>
    <t>测评表结构数据</t>
  </si>
  <si>
    <t>测评表项目数据</t>
  </si>
  <si>
    <t>填写规则数据</t>
  </si>
  <si>
    <t>填表人身份数据</t>
  </si>
  <si>
    <t>指标类数据源</t>
  </si>
  <si>
    <t>功能模块名称</t>
  </si>
  <si>
    <t>功能子模块名称</t>
  </si>
  <si>
    <t>功能项</t>
  </si>
  <si>
    <t>数据类型</t>
  </si>
  <si>
    <t>是否计算</t>
  </si>
  <si>
    <t>分值</t>
  </si>
  <si>
    <t>复杂度</t>
  </si>
  <si>
    <t>计算</t>
  </si>
  <si>
    <t>项目</t>
  </si>
  <si>
    <t>说明</t>
  </si>
  <si>
    <t>取值</t>
  </si>
  <si>
    <t>备注</t>
  </si>
  <si>
    <t>1.未调整功能点数UFP（功能点）</t>
  </si>
  <si>
    <t>EO</t>
  </si>
  <si>
    <t>经复用调整后的功能点数US（功能点）</t>
  </si>
  <si>
    <t>ILF</t>
  </si>
  <si>
    <t>设定规模变更因子CF</t>
  </si>
  <si>
    <t>2.调整后功能点数S（功能点）</t>
  </si>
  <si>
    <t>S=UFP*CF （无复用度）</t>
  </si>
  <si>
    <t>S=US*CF（调整复用度）</t>
  </si>
  <si>
    <t>功能点耗时率（PDR）
（人时/功能点）</t>
  </si>
  <si>
    <t>下限值（P25）</t>
  </si>
  <si>
    <t>来源于《2020年中国软件行业基准数据》</t>
  </si>
  <si>
    <t>中间值（P50）</t>
  </si>
  <si>
    <t xml:space="preserve">EIF </t>
  </si>
  <si>
    <t>上限值（P75）</t>
  </si>
  <si>
    <t>3.未调整的工作量UE（人时）
计算公式：UE=PDR×S</t>
  </si>
  <si>
    <t>设定调整因子</t>
  </si>
  <si>
    <t>软件规模调整因子SF</t>
  </si>
  <si>
    <t>应用类型调整因子AT</t>
  </si>
  <si>
    <t>质量特性调整因子QR</t>
  </si>
  <si>
    <t>开发语言调整因子SL</t>
  </si>
  <si>
    <t>开发团队背景调整因子DT</t>
  </si>
  <si>
    <t>4.调整后的工作量AE（人时）
计算公式：AE=UE×SWF×RDF；
其中SWF=SF×AT×QR，RDF=SL×DT</t>
  </si>
  <si>
    <t>人月折算系数HM（人时/人月）</t>
  </si>
  <si>
    <r>
      <rPr>
        <sz val="9"/>
        <color theme="1"/>
        <rFont val="宋体"/>
        <charset val="134"/>
      </rPr>
      <t>每天８小时，</t>
    </r>
    <r>
      <rPr>
        <sz val="9"/>
        <color theme="1"/>
        <rFont val="宋体"/>
        <charset val="134"/>
      </rPr>
      <t>21.75</t>
    </r>
    <r>
      <rPr>
        <sz val="9"/>
        <color theme="1"/>
        <rFont val="宋体"/>
        <charset val="134"/>
      </rPr>
      <t>天</t>
    </r>
  </si>
  <si>
    <t>平均人力成本费率F（元/人月）</t>
  </si>
  <si>
    <t>项目所在地统计局发布的“信息传输、软件和信息技术”的年平均工资/12*人力成本系数，人力成本系数参考《信息化项目软件开发费用测算规范5.0》，取值在2.265-2.375之间，通常取2.265；贵州省统计局发布的2020年信息传输、软件和技术服务业年平均工资为111635元</t>
  </si>
  <si>
    <r>
      <rPr>
        <sz val="9"/>
        <color rgb="FF000000"/>
        <rFont val="宋体"/>
        <charset val="134"/>
      </rPr>
      <t>5.工期D（月）
计算公式：D=1.277×(AE/8/22)</t>
    </r>
    <r>
      <rPr>
        <vertAlign val="superscript"/>
        <sz val="9"/>
        <color rgb="FF000000"/>
        <rFont val="宋体"/>
        <charset val="134"/>
      </rPr>
      <t>0.404</t>
    </r>
  </si>
  <si>
    <t>EQ</t>
  </si>
  <si>
    <t>6.软件开发费用（元）
计算公式：P=AE/HM×F</t>
  </si>
  <si>
    <t>最终费用/价格（元）</t>
  </si>
  <si>
    <t>最终的费用取值</t>
  </si>
  <si>
    <t>功能点单价（元/功能点）</t>
  </si>
  <si>
    <t xml:space="preserve"> 定制软件开发应用类型调整因子取值明细表</t>
  </si>
  <si>
    <t>应用类型</t>
  </si>
  <si>
    <t>描述</t>
  </si>
  <si>
    <t>调整因子</t>
  </si>
  <si>
    <t>选择</t>
  </si>
  <si>
    <t>业务处理</t>
  </si>
  <si>
    <t>办公自动化系统、日常管理及业务处理用软件等</t>
  </si>
  <si>
    <t>√</t>
  </si>
  <si>
    <t>依据项目业务功能描述为业主处理为主</t>
  </si>
  <si>
    <t>应用集成类、科技</t>
  </si>
  <si>
    <t>科学计算、模拟、空白表格程序、统计、CAE（计算机辅助工程）仿真、基于复杂算法的统计分析等；企业服务总线、应用集成等</t>
  </si>
  <si>
    <t>多媒体</t>
  </si>
  <si>
    <t>多媒体数据处理；地理信息系统；教育和娱乐应用等</t>
  </si>
  <si>
    <t>智能信息</t>
  </si>
  <si>
    <t>自然语言处理、人工智能、专家系统等</t>
  </si>
  <si>
    <t>系统</t>
  </si>
  <si>
    <t>操作系统、数据库系统、集成开发环境、自动化开发/设计工具等</t>
  </si>
  <si>
    <t>通信控制</t>
  </si>
  <si>
    <t>通信协议、仿真、交换机软件、全球定位系统等</t>
  </si>
  <si>
    <t>流程控制</t>
  </si>
  <si>
    <t>生产管理、仪器控制、机器人控制、实时控制、嵌入式软件等</t>
  </si>
  <si>
    <t>指挥管制</t>
  </si>
  <si>
    <t>军队，警察等需要管制军备和人力的软件</t>
  </si>
  <si>
    <t xml:space="preserve"> 定制软件开发质量特性调整因子取值明细表</t>
  </si>
  <si>
    <t>判断标准</t>
  </si>
  <si>
    <t>性能效率</t>
  </si>
  <si>
    <t>没有明示对性能效率的需求</t>
  </si>
  <si>
    <t>方案中未明确性能效率、可移植性。</t>
  </si>
  <si>
    <t>参考GB/T 25000.10-2016文件提出了对性能效率的要求</t>
  </si>
  <si>
    <t>兼容性</t>
  </si>
  <si>
    <t>没有明示对兼容性的需求</t>
  </si>
  <si>
    <t>参考GB/T 25000.10-2016文件提出了兼容性的要求</t>
  </si>
  <si>
    <t>可靠性</t>
  </si>
  <si>
    <t>没有明示对可靠性的要求</t>
  </si>
  <si>
    <t>参考GB/T 25000.10-2016文件提出了可靠性的要求</t>
  </si>
  <si>
    <t>可移植性</t>
  </si>
  <si>
    <t>没有明示对可移植性的要求</t>
  </si>
  <si>
    <t>参考GB/T 25000.10-2016文件提出了可移植性的要求</t>
  </si>
  <si>
    <t>定制软件开发开发语言调整因子取值明细表</t>
  </si>
  <si>
    <t>开发语言</t>
  </si>
  <si>
    <t>C及其他同级别语言/平台</t>
  </si>
  <si>
    <t>依据项目实际情况计取</t>
  </si>
  <si>
    <t>JAVA、C++及其他同级别语言/平台</t>
  </si>
  <si>
    <t>PowerBuilder、ASP、PHP、JavaScript及其他同级别语言/平台</t>
  </si>
  <si>
    <t>定制软件开发开发团队背景调整因子取值明细表</t>
  </si>
  <si>
    <t>开发团队背景</t>
  </si>
  <si>
    <t>为本行业开发过类似的软件</t>
  </si>
  <si>
    <t>本项目暂未招标，无法明确开发团队，默认取值为1。</t>
  </si>
  <si>
    <t>为其他行业开发过类似的软件，或为本行业开发过不同但相关的软件</t>
  </si>
  <si>
    <t>没有同类软件及本行业相关软件开发背景</t>
  </si>
  <si>
    <t>S=UFP*CF 
（无复用度）</t>
  </si>
  <si>
    <t>S=US*CF
（调整复用度）</t>
  </si>
  <si>
    <t>每月2天，每天８小时</t>
  </si>
  <si>
    <r>
      <t>5.工期D（月）
计算公式：D=1.277×(AE/8/22)</t>
    </r>
    <r>
      <rPr>
        <vertAlign val="superscript"/>
        <sz val="10"/>
        <color rgb="FF000000"/>
        <rFont val="宋体"/>
        <charset val="134"/>
      </rPr>
      <t>0.404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</si>
</sst>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;[Red]0"/>
    <numFmt numFmtId="178" formatCode="0.00_);[Red]\(0.00\)"/>
    <numFmt numFmtId="179" formatCode="0.00_ "/>
    <numFmt numFmtId="180" formatCode="0_ "/>
  </numFmts>
  <fonts count="54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b/>
      <sz val="10"/>
      <color rgb="FF00000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sz val="10"/>
      <color indexed="8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sz val="10.5"/>
      <color rgb="FF000000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i/>
      <sz val="10.5"/>
      <color indexed="8"/>
      <name val="宋体"/>
      <charset val="134"/>
    </font>
    <font>
      <sz val="10.5"/>
      <color rgb="FF000000"/>
      <name val="宋体"/>
      <charset val="134"/>
    </font>
    <font>
      <b/>
      <sz val="10"/>
      <color theme="1"/>
      <name val="宋体"/>
      <charset val="134"/>
    </font>
    <font>
      <b/>
      <sz val="10"/>
      <color indexed="8"/>
      <name val="宋体"/>
      <charset val="134"/>
    </font>
    <font>
      <b/>
      <sz val="9"/>
      <color rgb="FF000000"/>
      <name val="宋体"/>
      <charset val="134"/>
    </font>
    <font>
      <sz val="9"/>
      <color indexed="8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sz val="10"/>
      <color theme="1"/>
      <name val="等线"/>
      <charset val="134"/>
      <scheme val="minor"/>
    </font>
    <font>
      <sz val="10"/>
      <color theme="1"/>
      <name val="华文宋体"/>
      <charset val="134"/>
    </font>
    <font>
      <b/>
      <sz val="10"/>
      <color rgb="FF000000"/>
      <name val="华文宋体"/>
      <charset val="134"/>
    </font>
    <font>
      <sz val="10"/>
      <color rgb="FF000000"/>
      <name val="华文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vertAlign val="superscript"/>
      <sz val="10"/>
      <color rgb="FF000000"/>
      <name val="宋体"/>
      <charset val="134"/>
    </font>
    <font>
      <vertAlign val="superscript"/>
      <sz val="9"/>
      <color rgb="FF00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6" borderId="10" applyNumberFormat="0" applyAlignment="0" applyProtection="0">
      <alignment vertical="center"/>
    </xf>
    <xf numFmtId="0" fontId="37" fillId="7" borderId="11" applyNumberFormat="0" applyAlignment="0" applyProtection="0">
      <alignment vertical="center"/>
    </xf>
    <xf numFmtId="0" fontId="38" fillId="7" borderId="10" applyNumberFormat="0" applyAlignment="0" applyProtection="0">
      <alignment vertical="center"/>
    </xf>
    <xf numFmtId="0" fontId="39" fillId="8" borderId="12" applyNumberFormat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7" fillId="0" borderId="0">
      <alignment vertical="center"/>
    </xf>
    <xf numFmtId="0" fontId="48" fillId="0" borderId="0"/>
    <xf numFmtId="0" fontId="49" fillId="0" borderId="0" applyNumberFormat="0" applyFont="0" applyFill="0" applyBorder="0" applyAlignment="0" applyProtection="0">
      <alignment vertical="center"/>
    </xf>
  </cellStyleXfs>
  <cellXfs count="102">
    <xf numFmtId="0" fontId="0" fillId="0" borderId="0" xfId="0"/>
    <xf numFmtId="0" fontId="0" fillId="0" borderId="0" xfId="0" applyAlignment="1">
      <alignment horizontal="center"/>
    </xf>
    <xf numFmtId="0" fontId="1" fillId="0" borderId="1" xfId="49" applyNumberFormat="1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>
      <alignment horizontal="center" vertical="center"/>
    </xf>
    <xf numFmtId="176" fontId="1" fillId="0" borderId="1" xfId="49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49" applyFont="1" applyBorder="1" applyAlignment="1">
      <alignment horizontal="left" vertical="center"/>
    </xf>
    <xf numFmtId="0" fontId="4" fillId="0" borderId="1" xfId="0" applyFont="1" applyBorder="1"/>
    <xf numFmtId="177" fontId="3" fillId="0" borderId="1" xfId="49" applyNumberFormat="1" applyFont="1" applyBorder="1" applyAlignment="1">
      <alignment horizontal="center"/>
    </xf>
    <xf numFmtId="0" fontId="3" fillId="0" borderId="1" xfId="49" applyFont="1" applyBorder="1" applyAlignment="1">
      <alignment horizontal="center"/>
    </xf>
    <xf numFmtId="0" fontId="3" fillId="0" borderId="2" xfId="49" applyFont="1" applyBorder="1" applyAlignment="1">
      <alignment horizontal="left" vertical="center" wrapText="1"/>
    </xf>
    <xf numFmtId="0" fontId="3" fillId="0" borderId="1" xfId="49" applyFont="1" applyBorder="1" applyAlignment="1">
      <alignment wrapText="1"/>
    </xf>
    <xf numFmtId="176" fontId="3" fillId="0" borderId="1" xfId="49" applyNumberFormat="1" applyFont="1" applyBorder="1" applyAlignment="1">
      <alignment horizontal="center" vertical="center"/>
    </xf>
    <xf numFmtId="0" fontId="3" fillId="0" borderId="3" xfId="49" applyFont="1" applyBorder="1" applyAlignment="1">
      <alignment horizontal="left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4" xfId="49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76" fontId="3" fillId="0" borderId="1" xfId="49" applyNumberFormat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 wrapText="1"/>
    </xf>
    <xf numFmtId="0" fontId="6" fillId="0" borderId="2" xfId="49" applyFont="1" applyBorder="1" applyAlignment="1">
      <alignment horizontal="left" vertical="center" wrapText="1"/>
    </xf>
    <xf numFmtId="0" fontId="6" fillId="0" borderId="4" xfId="49" applyFont="1" applyBorder="1" applyAlignment="1">
      <alignment horizontal="left" vertical="center" wrapText="1"/>
    </xf>
    <xf numFmtId="0" fontId="6" fillId="0" borderId="3" xfId="49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left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179" fontId="0" fillId="0" borderId="0" xfId="0" applyNumberFormat="1"/>
    <xf numFmtId="0" fontId="17" fillId="0" borderId="1" xfId="0" applyFont="1" applyBorder="1" applyAlignment="1">
      <alignment horizontal="center" vertical="center" wrapText="1"/>
    </xf>
    <xf numFmtId="0" fontId="18" fillId="0" borderId="1" xfId="50" applyFont="1" applyFill="1" applyBorder="1" applyAlignment="1">
      <alignment horizontal="center" vertical="center" wrapText="1"/>
    </xf>
    <xf numFmtId="0" fontId="17" fillId="0" borderId="1" xfId="50" applyFont="1" applyFill="1" applyBorder="1" applyAlignment="1">
      <alignment horizontal="center" vertical="center" wrapText="1"/>
    </xf>
    <xf numFmtId="179" fontId="18" fillId="0" borderId="1" xfId="50" applyNumberFormat="1" applyFont="1" applyFill="1" applyBorder="1" applyAlignment="1">
      <alignment horizontal="center" vertical="center" wrapText="1"/>
    </xf>
    <xf numFmtId="180" fontId="18" fillId="0" borderId="1" xfId="5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50" applyFont="1" applyFill="1" applyBorder="1" applyAlignment="1">
      <alignment horizontal="center" vertical="center" wrapText="1"/>
    </xf>
    <xf numFmtId="0" fontId="4" fillId="0" borderId="1" xfId="50" applyFont="1" applyFill="1" applyBorder="1" applyAlignment="1">
      <alignment horizontal="left" vertical="center" wrapText="1"/>
    </xf>
    <xf numFmtId="180" fontId="5" fillId="0" borderId="1" xfId="50" applyNumberFormat="1" applyFont="1" applyFill="1" applyBorder="1" applyAlignment="1">
      <alignment horizontal="center" vertical="center" wrapText="1"/>
    </xf>
    <xf numFmtId="179" fontId="5" fillId="0" borderId="1" xfId="50" applyNumberFormat="1" applyFont="1" applyFill="1" applyBorder="1" applyAlignment="1">
      <alignment horizontal="center" vertical="center" wrapText="1"/>
    </xf>
    <xf numFmtId="0" fontId="20" fillId="0" borderId="1" xfId="49" applyFont="1" applyBorder="1" applyAlignment="1">
      <alignment horizontal="left" vertical="center"/>
    </xf>
    <xf numFmtId="0" fontId="21" fillId="0" borderId="1" xfId="0" applyFont="1" applyBorder="1"/>
    <xf numFmtId="179" fontId="20" fillId="0" borderId="1" xfId="49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50" applyFont="1" applyFill="1" applyBorder="1" applyAlignment="1">
      <alignment horizontal="center" vertical="center" wrapText="1"/>
    </xf>
    <xf numFmtId="0" fontId="3" fillId="0" borderId="3" xfId="50" applyFont="1" applyFill="1" applyBorder="1" applyAlignment="1">
      <alignment horizontal="center" vertical="center" wrapText="1"/>
    </xf>
    <xf numFmtId="0" fontId="6" fillId="0" borderId="1" xfId="50" applyFont="1" applyFill="1" applyBorder="1" applyAlignment="1">
      <alignment vertical="center" wrapText="1"/>
    </xf>
    <xf numFmtId="0" fontId="5" fillId="0" borderId="1" xfId="50" applyFont="1" applyFill="1" applyBorder="1" applyAlignment="1">
      <alignment horizontal="center" vertical="center" wrapText="1"/>
    </xf>
    <xf numFmtId="0" fontId="6" fillId="0" borderId="1" xfId="50" applyFont="1" applyFill="1" applyBorder="1" applyAlignment="1">
      <alignment horizontal="center" vertical="center" wrapText="1"/>
    </xf>
    <xf numFmtId="179" fontId="4" fillId="0" borderId="1" xfId="50" applyNumberFormat="1" applyFont="1" applyFill="1" applyBorder="1" applyAlignment="1">
      <alignment horizontal="center" vertical="center" wrapText="1"/>
    </xf>
    <xf numFmtId="0" fontId="3" fillId="0" borderId="2" xfId="50" applyFont="1" applyFill="1" applyBorder="1" applyAlignment="1">
      <alignment horizontal="center" vertical="center" wrapText="1"/>
    </xf>
    <xf numFmtId="0" fontId="6" fillId="0" borderId="1" xfId="50" applyFont="1" applyFill="1" applyBorder="1" applyAlignment="1">
      <alignment horizontal="left" vertical="center" wrapText="1"/>
    </xf>
    <xf numFmtId="0" fontId="20" fillId="0" borderId="1" xfId="49" applyFont="1" applyBorder="1" applyAlignment="1">
      <alignment horizontal="center"/>
    </xf>
    <xf numFmtId="0" fontId="3" fillId="0" borderId="4" xfId="50" applyFont="1" applyFill="1" applyBorder="1" applyAlignment="1">
      <alignment horizontal="center" vertical="center" wrapText="1"/>
    </xf>
    <xf numFmtId="0" fontId="20" fillId="0" borderId="2" xfId="49" applyFont="1" applyBorder="1" applyAlignment="1">
      <alignment horizontal="left" vertical="center" wrapText="1"/>
    </xf>
    <xf numFmtId="0" fontId="20" fillId="0" borderId="1" xfId="49" applyFont="1" applyBorder="1" applyAlignment="1">
      <alignment wrapText="1"/>
    </xf>
    <xf numFmtId="176" fontId="20" fillId="0" borderId="1" xfId="49" applyNumberFormat="1" applyFont="1" applyBorder="1" applyAlignment="1">
      <alignment horizontal="center" vertical="center"/>
    </xf>
    <xf numFmtId="0" fontId="20" fillId="0" borderId="3" xfId="49" applyFont="1" applyBorder="1" applyAlignment="1">
      <alignment horizontal="left" vertical="center" wrapText="1"/>
    </xf>
    <xf numFmtId="178" fontId="22" fillId="2" borderId="1" xfId="0" applyNumberFormat="1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4" fillId="0" borderId="1" xfId="50" applyFont="1" applyBorder="1" applyAlignment="1">
      <alignment horizontal="center" vertical="center" wrapText="1"/>
    </xf>
    <xf numFmtId="0" fontId="20" fillId="0" borderId="4" xfId="49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176" fontId="20" fillId="0" borderId="1" xfId="49" applyNumberFormat="1" applyFont="1" applyBorder="1" applyAlignment="1">
      <alignment horizontal="center"/>
    </xf>
    <xf numFmtId="0" fontId="21" fillId="0" borderId="1" xfId="0" applyFont="1" applyBorder="1" applyAlignment="1">
      <alignment wrapText="1"/>
    </xf>
    <xf numFmtId="0" fontId="4" fillId="0" borderId="3" xfId="5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50" applyFont="1" applyFill="1" applyBorder="1" applyAlignment="1">
      <alignment horizontal="center" vertical="center" wrapText="1"/>
    </xf>
    <xf numFmtId="0" fontId="21" fillId="0" borderId="2" xfId="0" applyFont="1" applyBorder="1"/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176" fontId="20" fillId="0" borderId="1" xfId="49" applyNumberFormat="1" applyFont="1" applyBorder="1" applyAlignment="1">
      <alignment horizontal="center" vertical="center" wrapText="1"/>
    </xf>
    <xf numFmtId="0" fontId="23" fillId="0" borderId="2" xfId="49" applyFont="1" applyBorder="1" applyAlignment="1">
      <alignment horizontal="left" vertical="center" wrapText="1"/>
    </xf>
    <xf numFmtId="0" fontId="23" fillId="0" borderId="4" xfId="49" applyFont="1" applyBorder="1" applyAlignment="1">
      <alignment horizontal="left" vertical="center" wrapText="1"/>
    </xf>
    <xf numFmtId="0" fontId="23" fillId="0" borderId="3" xfId="49" applyFont="1" applyBorder="1" applyAlignment="1">
      <alignment horizontal="left" vertical="center" wrapText="1"/>
    </xf>
    <xf numFmtId="176" fontId="20" fillId="3" borderId="1" xfId="49" applyNumberFormat="1" applyFont="1" applyFill="1" applyBorder="1" applyAlignment="1">
      <alignment horizontal="center"/>
    </xf>
    <xf numFmtId="0" fontId="24" fillId="0" borderId="0" xfId="0" applyFont="1"/>
    <xf numFmtId="0" fontId="25" fillId="0" borderId="0" xfId="0" applyFont="1"/>
    <xf numFmtId="0" fontId="26" fillId="4" borderId="0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4" borderId="1" xfId="0" applyFont="1" applyFill="1" applyBorder="1" applyAlignment="1">
      <alignment horizontal="center" vertical="center" wrapText="1"/>
    </xf>
    <xf numFmtId="0" fontId="26" fillId="4" borderId="6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普通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6"/>
  <sheetViews>
    <sheetView zoomScale="85" zoomScaleNormal="85" topLeftCell="A201" workbookViewId="0">
      <selection activeCell="G216" sqref="G216"/>
    </sheetView>
  </sheetViews>
  <sheetFormatPr defaultColWidth="8.66071428571429" defaultRowHeight="15.2"/>
  <cols>
    <col min="1" max="1" width="8.66071428571429" style="94"/>
    <col min="2" max="2" width="17.4107142857143" style="94" customWidth="1"/>
    <col min="3" max="3" width="10.0803571428571" style="94" customWidth="1"/>
    <col min="4" max="4" width="7.25" style="94" customWidth="1"/>
    <col min="5" max="5" width="8.58035714285714" style="94" customWidth="1"/>
    <col min="6" max="6" width="7.25" style="94" customWidth="1"/>
    <col min="7" max="7" width="9.41071428571429" style="94" customWidth="1"/>
    <col min="8" max="8" width="7.25" style="94" customWidth="1"/>
    <col min="9" max="10" width="8.75" style="94" customWidth="1"/>
    <col min="11" max="11" width="10" style="94" customWidth="1"/>
    <col min="12" max="12" width="8.66071428571429" style="94"/>
    <col min="13" max="13" width="10.3303571428571" style="94" customWidth="1"/>
    <col min="14" max="14" width="8.66071428571429" style="94"/>
    <col min="15" max="15" width="10" style="94" customWidth="1"/>
    <col min="16" max="18" width="8.66071428571429" style="94"/>
    <col min="19" max="19" width="14.4107142857143" style="94" customWidth="1"/>
    <col min="20" max="16384" width="8.66071428571429" style="94"/>
  </cols>
  <sheetData>
    <row r="1" ht="14.5" customHeight="1" spans="1:21">
      <c r="A1" s="95" t="s">
        <v>0</v>
      </c>
      <c r="B1" s="95" t="s">
        <v>1</v>
      </c>
      <c r="C1" s="96" t="s">
        <v>2</v>
      </c>
      <c r="D1" s="96"/>
      <c r="E1" s="96"/>
      <c r="F1" s="96"/>
      <c r="G1" s="96"/>
      <c r="H1" s="96"/>
      <c r="I1" s="96"/>
      <c r="J1" s="96"/>
      <c r="K1" s="97" t="s">
        <v>3</v>
      </c>
      <c r="L1" s="97"/>
      <c r="M1" s="97"/>
      <c r="N1" s="97"/>
      <c r="O1" s="97"/>
      <c r="P1" s="97"/>
      <c r="Q1" s="97"/>
      <c r="R1" s="97"/>
      <c r="S1" s="97"/>
      <c r="T1" s="97"/>
      <c r="U1" s="97"/>
    </row>
    <row r="2" ht="16" spans="1:21">
      <c r="A2" s="95"/>
      <c r="B2" s="95"/>
      <c r="C2" s="98" t="s">
        <v>4</v>
      </c>
      <c r="D2" s="98"/>
      <c r="E2" s="98"/>
      <c r="F2" s="98"/>
      <c r="G2" s="98" t="s">
        <v>5</v>
      </c>
      <c r="H2" s="98"/>
      <c r="I2" s="98"/>
      <c r="J2" s="98" t="s">
        <v>6</v>
      </c>
      <c r="K2" s="98" t="s">
        <v>4</v>
      </c>
      <c r="L2" s="98"/>
      <c r="M2" s="98"/>
      <c r="N2" s="98"/>
      <c r="O2" s="98" t="s">
        <v>5</v>
      </c>
      <c r="P2" s="98"/>
      <c r="Q2" s="98"/>
      <c r="R2" s="98" t="s">
        <v>6</v>
      </c>
      <c r="S2" s="98" t="s">
        <v>7</v>
      </c>
      <c r="T2" s="98" t="s">
        <v>8</v>
      </c>
      <c r="U2" s="98" t="s">
        <v>9</v>
      </c>
    </row>
    <row r="3" ht="46" spans="1:21">
      <c r="A3" s="99"/>
      <c r="B3" s="99"/>
      <c r="C3" s="98" t="s">
        <v>10</v>
      </c>
      <c r="D3" s="98" t="s">
        <v>11</v>
      </c>
      <c r="E3" s="98" t="s">
        <v>12</v>
      </c>
      <c r="F3" s="98" t="s">
        <v>13</v>
      </c>
      <c r="G3" s="98" t="s">
        <v>10</v>
      </c>
      <c r="H3" s="98" t="s">
        <v>11</v>
      </c>
      <c r="I3" s="98" t="s">
        <v>12</v>
      </c>
      <c r="J3" s="98" t="s">
        <v>14</v>
      </c>
      <c r="K3" s="98" t="s">
        <v>10</v>
      </c>
      <c r="L3" s="98" t="s">
        <v>11</v>
      </c>
      <c r="M3" s="98" t="s">
        <v>12</v>
      </c>
      <c r="N3" s="98" t="s">
        <v>13</v>
      </c>
      <c r="O3" s="98" t="s">
        <v>10</v>
      </c>
      <c r="P3" s="98" t="s">
        <v>11</v>
      </c>
      <c r="Q3" s="98" t="s">
        <v>12</v>
      </c>
      <c r="R3" s="98" t="s">
        <v>14</v>
      </c>
      <c r="S3" s="98" t="s">
        <v>15</v>
      </c>
      <c r="T3" s="98" t="s">
        <v>16</v>
      </c>
      <c r="U3" s="98"/>
    </row>
    <row r="4" ht="16" spans="1:21">
      <c r="A4" s="100"/>
      <c r="B4" s="101" t="s">
        <v>17</v>
      </c>
      <c r="C4" s="101">
        <v>20.88</v>
      </c>
      <c r="D4" s="101">
        <v>103.15</v>
      </c>
      <c r="E4" s="101">
        <v>41.01</v>
      </c>
      <c r="F4" s="101">
        <v>165.04</v>
      </c>
      <c r="G4" s="101">
        <v>1.96</v>
      </c>
      <c r="H4" s="101">
        <v>1.64</v>
      </c>
      <c r="I4" s="101">
        <v>0.98</v>
      </c>
      <c r="J4" s="101">
        <v>276.01</v>
      </c>
      <c r="K4" s="101">
        <v>20.88</v>
      </c>
      <c r="L4" s="101">
        <v>103.15</v>
      </c>
      <c r="M4" s="101">
        <v>41.01</v>
      </c>
      <c r="N4" s="101">
        <v>165.04</v>
      </c>
      <c r="O4" s="101">
        <v>1.96</v>
      </c>
      <c r="P4" s="101">
        <v>1.64</v>
      </c>
      <c r="Q4" s="101">
        <v>0.98</v>
      </c>
      <c r="R4" s="101">
        <v>276.01</v>
      </c>
    </row>
    <row r="5" ht="31" spans="1:21">
      <c r="A5" s="100" t="s">
        <v>18</v>
      </c>
      <c r="B5" s="101" t="s">
        <v>19</v>
      </c>
      <c r="C5" s="101">
        <v>6.69</v>
      </c>
      <c r="D5" s="101">
        <v>33.11</v>
      </c>
      <c r="E5" s="101">
        <v>13.14</v>
      </c>
      <c r="F5" s="101">
        <v>52.94</v>
      </c>
      <c r="G5" s="101">
        <v>1.96</v>
      </c>
      <c r="H5" s="101">
        <v>1.64</v>
      </c>
      <c r="I5" s="101">
        <v>0.98</v>
      </c>
      <c r="J5" s="101">
        <v>80.21</v>
      </c>
      <c r="K5" s="101">
        <v>6.69</v>
      </c>
      <c r="L5" s="101">
        <v>33.11</v>
      </c>
      <c r="M5" s="101">
        <v>13.14</v>
      </c>
      <c r="N5" s="101">
        <v>52.94</v>
      </c>
      <c r="O5" s="101">
        <v>1.96</v>
      </c>
      <c r="P5" s="101">
        <v>1.64</v>
      </c>
      <c r="Q5" s="101">
        <v>0.98</v>
      </c>
      <c r="R5" s="101">
        <v>80.21</v>
      </c>
    </row>
    <row r="6" ht="16" spans="1:21">
      <c r="A6" s="100">
        <v>1</v>
      </c>
      <c r="B6" s="101" t="s">
        <v>20</v>
      </c>
      <c r="C6" s="101">
        <v>0.55</v>
      </c>
      <c r="D6" s="101">
        <v>2.53</v>
      </c>
      <c r="E6" s="101">
        <v>0.99</v>
      </c>
      <c r="F6" s="101">
        <v>4.07</v>
      </c>
      <c r="G6" s="101">
        <v>1.96</v>
      </c>
      <c r="H6" s="101">
        <v>1.64</v>
      </c>
      <c r="I6" s="101">
        <v>0.98</v>
      </c>
      <c r="J6" s="101">
        <v>6.16</v>
      </c>
      <c r="K6" s="101">
        <v>0.55</v>
      </c>
      <c r="L6" s="101">
        <v>2.53</v>
      </c>
      <c r="M6" s="101">
        <v>0.99</v>
      </c>
      <c r="N6" s="101">
        <v>4.07</v>
      </c>
      <c r="O6" s="101">
        <v>1.96</v>
      </c>
      <c r="P6" s="101">
        <v>1.64</v>
      </c>
      <c r="Q6" s="101">
        <v>0.98</v>
      </c>
      <c r="R6" s="101">
        <v>6.16</v>
      </c>
    </row>
    <row r="7" ht="16" spans="1:21">
      <c r="A7" s="100">
        <v>1.1</v>
      </c>
      <c r="B7" s="100" t="s">
        <v>21</v>
      </c>
      <c r="C7" s="100">
        <v>0.05</v>
      </c>
      <c r="D7" s="100">
        <v>0.23</v>
      </c>
      <c r="E7" s="100">
        <v>0.09</v>
      </c>
      <c r="F7" s="100">
        <v>0.37</v>
      </c>
      <c r="G7" s="100">
        <v>1.96</v>
      </c>
      <c r="H7" s="100">
        <v>1.64</v>
      </c>
      <c r="I7" s="100">
        <v>0.98</v>
      </c>
      <c r="J7" s="100">
        <v>0.56</v>
      </c>
      <c r="K7" s="100">
        <v>0.05</v>
      </c>
      <c r="L7" s="100">
        <v>0.23</v>
      </c>
      <c r="M7" s="100">
        <v>0.09</v>
      </c>
      <c r="N7" s="100">
        <v>0.37</v>
      </c>
      <c r="O7" s="100">
        <v>1.96</v>
      </c>
      <c r="P7" s="100">
        <v>1.64</v>
      </c>
      <c r="Q7" s="100">
        <v>0.98</v>
      </c>
      <c r="R7" s="100">
        <v>0.56</v>
      </c>
    </row>
    <row r="8" ht="16" spans="1:21">
      <c r="A8" s="100">
        <v>1.2</v>
      </c>
      <c r="B8" s="100" t="s">
        <v>22</v>
      </c>
      <c r="C8" s="100">
        <v>0.05</v>
      </c>
      <c r="D8" s="100">
        <v>0.23</v>
      </c>
      <c r="E8" s="100">
        <v>0.09</v>
      </c>
      <c r="F8" s="100">
        <v>0.37</v>
      </c>
      <c r="G8" s="100">
        <v>1.96</v>
      </c>
      <c r="H8" s="100">
        <v>1.64</v>
      </c>
      <c r="I8" s="100">
        <v>0.98</v>
      </c>
      <c r="J8" s="100">
        <v>0.56</v>
      </c>
      <c r="K8" s="100">
        <v>0.05</v>
      </c>
      <c r="L8" s="100">
        <v>0.23</v>
      </c>
      <c r="M8" s="100">
        <v>0.09</v>
      </c>
      <c r="N8" s="100">
        <v>0.37</v>
      </c>
      <c r="O8" s="100">
        <v>1.96</v>
      </c>
      <c r="P8" s="100">
        <v>1.64</v>
      </c>
      <c r="Q8" s="100">
        <v>0.98</v>
      </c>
      <c r="R8" s="100">
        <v>0.56</v>
      </c>
    </row>
    <row r="9" ht="16" spans="1:21">
      <c r="A9" s="100">
        <v>1.3</v>
      </c>
      <c r="B9" s="100" t="s">
        <v>23</v>
      </c>
      <c r="C9" s="100">
        <v>0.05</v>
      </c>
      <c r="D9" s="100">
        <v>0.23</v>
      </c>
      <c r="E9" s="100">
        <v>0.09</v>
      </c>
      <c r="F9" s="100">
        <v>0.37</v>
      </c>
      <c r="G9" s="100">
        <v>1.96</v>
      </c>
      <c r="H9" s="100">
        <v>1.64</v>
      </c>
      <c r="I9" s="100">
        <v>0.98</v>
      </c>
      <c r="J9" s="100">
        <v>0.56</v>
      </c>
      <c r="K9" s="100">
        <v>0.05</v>
      </c>
      <c r="L9" s="100">
        <v>0.23</v>
      </c>
      <c r="M9" s="100">
        <v>0.09</v>
      </c>
      <c r="N9" s="100">
        <v>0.37</v>
      </c>
      <c r="O9" s="100">
        <v>1.96</v>
      </c>
      <c r="P9" s="100">
        <v>1.64</v>
      </c>
      <c r="Q9" s="100">
        <v>0.98</v>
      </c>
      <c r="R9" s="100">
        <v>0.56</v>
      </c>
    </row>
    <row r="10" ht="16" spans="1:21">
      <c r="A10" s="100">
        <v>1.4</v>
      </c>
      <c r="B10" s="100" t="s">
        <v>24</v>
      </c>
      <c r="C10" s="100">
        <v>0.05</v>
      </c>
      <c r="D10" s="100">
        <v>0.23</v>
      </c>
      <c r="E10" s="100">
        <v>0.09</v>
      </c>
      <c r="F10" s="100">
        <v>0.37</v>
      </c>
      <c r="G10" s="100">
        <v>1.96</v>
      </c>
      <c r="H10" s="100">
        <v>1.64</v>
      </c>
      <c r="I10" s="100">
        <v>0.98</v>
      </c>
      <c r="J10" s="100">
        <v>0.56</v>
      </c>
      <c r="K10" s="100">
        <v>0.05</v>
      </c>
      <c r="L10" s="100">
        <v>0.23</v>
      </c>
      <c r="M10" s="100">
        <v>0.09</v>
      </c>
      <c r="N10" s="100">
        <v>0.37</v>
      </c>
      <c r="O10" s="100">
        <v>1.96</v>
      </c>
      <c r="P10" s="100">
        <v>1.64</v>
      </c>
      <c r="Q10" s="100">
        <v>0.98</v>
      </c>
      <c r="R10" s="100">
        <v>0.56</v>
      </c>
    </row>
    <row r="11" ht="16" spans="1:21">
      <c r="A11" s="100">
        <v>1.5</v>
      </c>
      <c r="B11" s="100" t="s">
        <v>25</v>
      </c>
      <c r="C11" s="100">
        <v>0.05</v>
      </c>
      <c r="D11" s="100">
        <v>0.23</v>
      </c>
      <c r="E11" s="100">
        <v>0.09</v>
      </c>
      <c r="F11" s="100">
        <v>0.37</v>
      </c>
      <c r="G11" s="100">
        <v>1.96</v>
      </c>
      <c r="H11" s="100">
        <v>1.64</v>
      </c>
      <c r="I11" s="100">
        <v>0.98</v>
      </c>
      <c r="J11" s="100">
        <v>0.56</v>
      </c>
      <c r="K11" s="100">
        <v>0.05</v>
      </c>
      <c r="L11" s="100">
        <v>0.23</v>
      </c>
      <c r="M11" s="100">
        <v>0.09</v>
      </c>
      <c r="N11" s="100">
        <v>0.37</v>
      </c>
      <c r="O11" s="100">
        <v>1.96</v>
      </c>
      <c r="P11" s="100">
        <v>1.64</v>
      </c>
      <c r="Q11" s="100">
        <v>0.98</v>
      </c>
      <c r="R11" s="100">
        <v>0.56</v>
      </c>
    </row>
    <row r="12" ht="16" spans="1:21">
      <c r="A12" s="100">
        <v>1.6</v>
      </c>
      <c r="B12" s="100" t="s">
        <v>26</v>
      </c>
      <c r="C12" s="100">
        <v>0.05</v>
      </c>
      <c r="D12" s="100">
        <v>0.23</v>
      </c>
      <c r="E12" s="100">
        <v>0.09</v>
      </c>
      <c r="F12" s="100">
        <v>0.37</v>
      </c>
      <c r="G12" s="100">
        <v>1.96</v>
      </c>
      <c r="H12" s="100">
        <v>1.64</v>
      </c>
      <c r="I12" s="100">
        <v>0.98</v>
      </c>
      <c r="J12" s="100">
        <v>0.56</v>
      </c>
      <c r="K12" s="100">
        <v>0.05</v>
      </c>
      <c r="L12" s="100">
        <v>0.23</v>
      </c>
      <c r="M12" s="100">
        <v>0.09</v>
      </c>
      <c r="N12" s="100">
        <v>0.37</v>
      </c>
      <c r="O12" s="100">
        <v>1.96</v>
      </c>
      <c r="P12" s="100">
        <v>1.64</v>
      </c>
      <c r="Q12" s="100">
        <v>0.98</v>
      </c>
      <c r="R12" s="100">
        <v>0.56</v>
      </c>
    </row>
    <row r="13" ht="16" spans="1:21">
      <c r="A13" s="100">
        <v>1.7</v>
      </c>
      <c r="B13" s="100" t="s">
        <v>27</v>
      </c>
      <c r="C13" s="100">
        <v>0.05</v>
      </c>
      <c r="D13" s="100">
        <v>0.23</v>
      </c>
      <c r="E13" s="100">
        <v>0.09</v>
      </c>
      <c r="F13" s="100">
        <v>0.37</v>
      </c>
      <c r="G13" s="100">
        <v>1.96</v>
      </c>
      <c r="H13" s="100">
        <v>1.64</v>
      </c>
      <c r="I13" s="100">
        <v>0.98</v>
      </c>
      <c r="J13" s="100">
        <v>0.56</v>
      </c>
      <c r="K13" s="100">
        <v>0.05</v>
      </c>
      <c r="L13" s="100">
        <v>0.23</v>
      </c>
      <c r="M13" s="100">
        <v>0.09</v>
      </c>
      <c r="N13" s="100">
        <v>0.37</v>
      </c>
      <c r="O13" s="100">
        <v>1.96</v>
      </c>
      <c r="P13" s="100">
        <v>1.64</v>
      </c>
      <c r="Q13" s="100">
        <v>0.98</v>
      </c>
      <c r="R13" s="100">
        <v>0.56</v>
      </c>
    </row>
    <row r="14" ht="16" spans="1:21">
      <c r="A14" s="100">
        <v>1.8</v>
      </c>
      <c r="B14" s="100" t="s">
        <v>28</v>
      </c>
      <c r="C14" s="100">
        <v>0.05</v>
      </c>
      <c r="D14" s="100">
        <v>0.23</v>
      </c>
      <c r="E14" s="100">
        <v>0.09</v>
      </c>
      <c r="F14" s="100">
        <v>0.37</v>
      </c>
      <c r="G14" s="100">
        <v>1.96</v>
      </c>
      <c r="H14" s="100">
        <v>1.64</v>
      </c>
      <c r="I14" s="100">
        <v>0.98</v>
      </c>
      <c r="J14" s="100">
        <v>0.56</v>
      </c>
      <c r="K14" s="100">
        <v>0.05</v>
      </c>
      <c r="L14" s="100">
        <v>0.23</v>
      </c>
      <c r="M14" s="100">
        <v>0.09</v>
      </c>
      <c r="N14" s="100">
        <v>0.37</v>
      </c>
      <c r="O14" s="100">
        <v>1.96</v>
      </c>
      <c r="P14" s="100">
        <v>1.64</v>
      </c>
      <c r="Q14" s="100">
        <v>0.98</v>
      </c>
      <c r="R14" s="100">
        <v>0.56</v>
      </c>
    </row>
    <row r="15" ht="16" spans="1:21">
      <c r="A15" s="100">
        <v>1.9</v>
      </c>
      <c r="B15" s="100" t="s">
        <v>29</v>
      </c>
      <c r="C15" s="100">
        <v>0.05</v>
      </c>
      <c r="D15" s="100">
        <v>0.23</v>
      </c>
      <c r="E15" s="100">
        <v>0.09</v>
      </c>
      <c r="F15" s="100">
        <v>0.37</v>
      </c>
      <c r="G15" s="100">
        <v>1.96</v>
      </c>
      <c r="H15" s="100">
        <v>1.64</v>
      </c>
      <c r="I15" s="100">
        <v>0.98</v>
      </c>
      <c r="J15" s="100">
        <v>0.56</v>
      </c>
      <c r="K15" s="100">
        <v>0.05</v>
      </c>
      <c r="L15" s="100">
        <v>0.23</v>
      </c>
      <c r="M15" s="100">
        <v>0.09</v>
      </c>
      <c r="N15" s="100">
        <v>0.37</v>
      </c>
      <c r="O15" s="100">
        <v>1.96</v>
      </c>
      <c r="P15" s="100">
        <v>1.64</v>
      </c>
      <c r="Q15" s="100">
        <v>0.98</v>
      </c>
      <c r="R15" s="100">
        <v>0.56</v>
      </c>
    </row>
    <row r="16" ht="16" spans="1:21">
      <c r="A16" s="100">
        <v>1.1</v>
      </c>
      <c r="B16" s="100" t="s">
        <v>30</v>
      </c>
      <c r="C16" s="100">
        <v>0.05</v>
      </c>
      <c r="D16" s="100">
        <v>0.23</v>
      </c>
      <c r="E16" s="100">
        <v>0.09</v>
      </c>
      <c r="F16" s="100">
        <v>0.37</v>
      </c>
      <c r="G16" s="100">
        <v>1.96</v>
      </c>
      <c r="H16" s="100">
        <v>1.64</v>
      </c>
      <c r="I16" s="100">
        <v>0.98</v>
      </c>
      <c r="J16" s="100">
        <v>0.56</v>
      </c>
      <c r="K16" s="100">
        <v>0.05</v>
      </c>
      <c r="L16" s="100">
        <v>0.23</v>
      </c>
      <c r="M16" s="100">
        <v>0.09</v>
      </c>
      <c r="N16" s="100">
        <v>0.37</v>
      </c>
      <c r="O16" s="100">
        <v>1.96</v>
      </c>
      <c r="P16" s="100">
        <v>1.64</v>
      </c>
      <c r="Q16" s="100">
        <v>0.98</v>
      </c>
      <c r="R16" s="100">
        <v>0.56</v>
      </c>
    </row>
    <row r="17" ht="16" spans="1:18">
      <c r="A17" s="100">
        <v>1.11</v>
      </c>
      <c r="B17" s="100" t="s">
        <v>31</v>
      </c>
      <c r="C17" s="100">
        <v>0.05</v>
      </c>
      <c r="D17" s="100">
        <v>0.23</v>
      </c>
      <c r="E17" s="100">
        <v>0.09</v>
      </c>
      <c r="F17" s="100">
        <v>0.37</v>
      </c>
      <c r="G17" s="100">
        <v>1.96</v>
      </c>
      <c r="H17" s="100">
        <v>1.64</v>
      </c>
      <c r="I17" s="100">
        <v>0.98</v>
      </c>
      <c r="J17" s="100">
        <v>0.56</v>
      </c>
      <c r="K17" s="100">
        <v>0.05</v>
      </c>
      <c r="L17" s="100">
        <v>0.23</v>
      </c>
      <c r="M17" s="100">
        <v>0.09</v>
      </c>
      <c r="N17" s="100">
        <v>0.37</v>
      </c>
      <c r="O17" s="100">
        <v>1.96</v>
      </c>
      <c r="P17" s="100">
        <v>1.64</v>
      </c>
      <c r="Q17" s="100">
        <v>0.98</v>
      </c>
      <c r="R17" s="100">
        <v>0.56</v>
      </c>
    </row>
    <row r="18" ht="16" spans="1:18">
      <c r="A18" s="100">
        <v>2</v>
      </c>
      <c r="B18" s="101" t="s">
        <v>32</v>
      </c>
      <c r="C18" s="101">
        <v>1.83</v>
      </c>
      <c r="D18" s="101">
        <v>9.03</v>
      </c>
      <c r="E18" s="101">
        <v>3.6</v>
      </c>
      <c r="F18" s="101">
        <v>14.46</v>
      </c>
      <c r="G18" s="101">
        <v>1.96</v>
      </c>
      <c r="H18" s="101">
        <v>1.64</v>
      </c>
      <c r="I18" s="101">
        <v>0.98</v>
      </c>
      <c r="J18" s="101">
        <v>21.89</v>
      </c>
      <c r="K18" s="101">
        <v>1.83</v>
      </c>
      <c r="L18" s="101">
        <v>9.03</v>
      </c>
      <c r="M18" s="101">
        <v>3.6</v>
      </c>
      <c r="N18" s="101">
        <v>14.46</v>
      </c>
      <c r="O18" s="101">
        <v>1.96</v>
      </c>
      <c r="P18" s="101">
        <v>1.64</v>
      </c>
      <c r="Q18" s="101">
        <v>0.98</v>
      </c>
      <c r="R18" s="101">
        <v>21.89</v>
      </c>
    </row>
    <row r="19" ht="16" spans="1:18">
      <c r="A19" s="100">
        <v>2.1</v>
      </c>
      <c r="B19" s="100" t="s">
        <v>33</v>
      </c>
      <c r="C19" s="100">
        <v>0.09</v>
      </c>
      <c r="D19" s="100">
        <v>0.45</v>
      </c>
      <c r="E19" s="100">
        <v>0.18</v>
      </c>
      <c r="F19" s="100">
        <v>0.72</v>
      </c>
      <c r="G19" s="100">
        <v>1.96</v>
      </c>
      <c r="H19" s="100">
        <v>1.64</v>
      </c>
      <c r="I19" s="100">
        <v>0.98</v>
      </c>
      <c r="J19" s="100">
        <v>1.09</v>
      </c>
      <c r="K19" s="100">
        <v>0.09</v>
      </c>
      <c r="L19" s="100">
        <v>0.45</v>
      </c>
      <c r="M19" s="100">
        <v>0.18</v>
      </c>
      <c r="N19" s="100">
        <v>0.72</v>
      </c>
      <c r="O19" s="100">
        <v>1.96</v>
      </c>
      <c r="P19" s="100">
        <v>1.64</v>
      </c>
      <c r="Q19" s="100">
        <v>0.98</v>
      </c>
      <c r="R19" s="100">
        <v>1.09</v>
      </c>
    </row>
    <row r="20" ht="16" spans="1:18">
      <c r="A20" s="100">
        <v>2.2</v>
      </c>
      <c r="B20" s="100" t="s">
        <v>34</v>
      </c>
      <c r="C20" s="100">
        <v>0.05</v>
      </c>
      <c r="D20" s="100">
        <v>0.23</v>
      </c>
      <c r="E20" s="100">
        <v>0.09</v>
      </c>
      <c r="F20" s="100">
        <v>0.37</v>
      </c>
      <c r="G20" s="100">
        <v>1.96</v>
      </c>
      <c r="H20" s="100">
        <v>1.64</v>
      </c>
      <c r="I20" s="100">
        <v>0.98</v>
      </c>
      <c r="J20" s="100">
        <v>0.56</v>
      </c>
      <c r="K20" s="100">
        <v>0.05</v>
      </c>
      <c r="L20" s="100">
        <v>0.23</v>
      </c>
      <c r="M20" s="100">
        <v>0.09</v>
      </c>
      <c r="N20" s="100">
        <v>0.37</v>
      </c>
      <c r="O20" s="100">
        <v>1.96</v>
      </c>
      <c r="P20" s="100">
        <v>1.64</v>
      </c>
      <c r="Q20" s="100">
        <v>0.98</v>
      </c>
      <c r="R20" s="100">
        <v>0.56</v>
      </c>
    </row>
    <row r="21" ht="16" spans="1:18">
      <c r="A21" s="100">
        <v>2.3</v>
      </c>
      <c r="B21" s="100" t="s">
        <v>35</v>
      </c>
      <c r="C21" s="100">
        <v>0.09</v>
      </c>
      <c r="D21" s="100">
        <v>0.45</v>
      </c>
      <c r="E21" s="100">
        <v>0.18</v>
      </c>
      <c r="F21" s="100">
        <v>0.72</v>
      </c>
      <c r="G21" s="100">
        <v>1.96</v>
      </c>
      <c r="H21" s="100">
        <v>1.64</v>
      </c>
      <c r="I21" s="100">
        <v>0.98</v>
      </c>
      <c r="J21" s="100">
        <v>1.09</v>
      </c>
      <c r="K21" s="100">
        <v>0.09</v>
      </c>
      <c r="L21" s="100">
        <v>0.45</v>
      </c>
      <c r="M21" s="100">
        <v>0.18</v>
      </c>
      <c r="N21" s="100">
        <v>0.72</v>
      </c>
      <c r="O21" s="100">
        <v>1.96</v>
      </c>
      <c r="P21" s="100">
        <v>1.64</v>
      </c>
      <c r="Q21" s="100">
        <v>0.98</v>
      </c>
      <c r="R21" s="100">
        <v>1.09</v>
      </c>
    </row>
    <row r="22" ht="16" spans="1:18">
      <c r="A22" s="100">
        <v>2.4</v>
      </c>
      <c r="B22" s="100" t="s">
        <v>36</v>
      </c>
      <c r="C22" s="100">
        <v>0.05</v>
      </c>
      <c r="D22" s="100">
        <v>0.23</v>
      </c>
      <c r="E22" s="100">
        <v>0.09</v>
      </c>
      <c r="F22" s="100">
        <v>0.37</v>
      </c>
      <c r="G22" s="100">
        <v>1.96</v>
      </c>
      <c r="H22" s="100">
        <v>1.64</v>
      </c>
      <c r="I22" s="100">
        <v>0.98</v>
      </c>
      <c r="J22" s="100">
        <v>0.56</v>
      </c>
      <c r="K22" s="100">
        <v>0.05</v>
      </c>
      <c r="L22" s="100">
        <v>0.23</v>
      </c>
      <c r="M22" s="100">
        <v>0.09</v>
      </c>
      <c r="N22" s="100">
        <v>0.37</v>
      </c>
      <c r="O22" s="100">
        <v>1.96</v>
      </c>
      <c r="P22" s="100">
        <v>1.64</v>
      </c>
      <c r="Q22" s="100">
        <v>0.98</v>
      </c>
      <c r="R22" s="100">
        <v>0.56</v>
      </c>
    </row>
    <row r="23" ht="16" spans="1:18">
      <c r="A23" s="100">
        <v>2.5</v>
      </c>
      <c r="B23" s="100" t="s">
        <v>37</v>
      </c>
      <c r="C23" s="100">
        <v>0.05</v>
      </c>
      <c r="D23" s="100">
        <v>0.23</v>
      </c>
      <c r="E23" s="100">
        <v>0.09</v>
      </c>
      <c r="F23" s="100">
        <v>0.37</v>
      </c>
      <c r="G23" s="100">
        <v>1.96</v>
      </c>
      <c r="H23" s="100">
        <v>1.64</v>
      </c>
      <c r="I23" s="100">
        <v>0.98</v>
      </c>
      <c r="J23" s="100">
        <v>0.56</v>
      </c>
      <c r="K23" s="100">
        <v>0.05</v>
      </c>
      <c r="L23" s="100">
        <v>0.23</v>
      </c>
      <c r="M23" s="100">
        <v>0.09</v>
      </c>
      <c r="N23" s="100">
        <v>0.37</v>
      </c>
      <c r="O23" s="100">
        <v>1.96</v>
      </c>
      <c r="P23" s="100">
        <v>1.64</v>
      </c>
      <c r="Q23" s="100">
        <v>0.98</v>
      </c>
      <c r="R23" s="100">
        <v>0.56</v>
      </c>
    </row>
    <row r="24" ht="16" spans="1:18">
      <c r="A24" s="100">
        <v>2.6</v>
      </c>
      <c r="B24" s="100" t="s">
        <v>38</v>
      </c>
      <c r="C24" s="100">
        <v>0.09</v>
      </c>
      <c r="D24" s="100">
        <v>0.45</v>
      </c>
      <c r="E24" s="100">
        <v>0.18</v>
      </c>
      <c r="F24" s="100">
        <v>0.72</v>
      </c>
      <c r="G24" s="100">
        <v>1.96</v>
      </c>
      <c r="H24" s="100">
        <v>1.64</v>
      </c>
      <c r="I24" s="100">
        <v>0.98</v>
      </c>
      <c r="J24" s="100">
        <v>1.09</v>
      </c>
      <c r="K24" s="100">
        <v>0.09</v>
      </c>
      <c r="L24" s="100">
        <v>0.45</v>
      </c>
      <c r="M24" s="100">
        <v>0.18</v>
      </c>
      <c r="N24" s="100">
        <v>0.72</v>
      </c>
      <c r="O24" s="100">
        <v>1.96</v>
      </c>
      <c r="P24" s="100">
        <v>1.64</v>
      </c>
      <c r="Q24" s="100">
        <v>0.98</v>
      </c>
      <c r="R24" s="100">
        <v>1.09</v>
      </c>
    </row>
    <row r="25" ht="16" spans="1:18">
      <c r="A25" s="100">
        <v>2.7</v>
      </c>
      <c r="B25" s="100" t="s">
        <v>39</v>
      </c>
      <c r="C25" s="100">
        <v>0.09</v>
      </c>
      <c r="D25" s="100">
        <v>0.45</v>
      </c>
      <c r="E25" s="100">
        <v>0.18</v>
      </c>
      <c r="F25" s="100">
        <v>0.72</v>
      </c>
      <c r="G25" s="100">
        <v>1.96</v>
      </c>
      <c r="H25" s="100">
        <v>1.64</v>
      </c>
      <c r="I25" s="100">
        <v>0.98</v>
      </c>
      <c r="J25" s="100">
        <v>1.09</v>
      </c>
      <c r="K25" s="100">
        <v>0.09</v>
      </c>
      <c r="L25" s="100">
        <v>0.45</v>
      </c>
      <c r="M25" s="100">
        <v>0.18</v>
      </c>
      <c r="N25" s="100">
        <v>0.72</v>
      </c>
      <c r="O25" s="100">
        <v>1.96</v>
      </c>
      <c r="P25" s="100">
        <v>1.64</v>
      </c>
      <c r="Q25" s="100">
        <v>0.98</v>
      </c>
      <c r="R25" s="100">
        <v>1.09</v>
      </c>
    </row>
    <row r="26" ht="16" spans="1:18">
      <c r="A26" s="100">
        <v>2.8</v>
      </c>
      <c r="B26" s="100" t="s">
        <v>40</v>
      </c>
      <c r="C26" s="100">
        <v>0.09</v>
      </c>
      <c r="D26" s="100">
        <v>0.45</v>
      </c>
      <c r="E26" s="100">
        <v>0.18</v>
      </c>
      <c r="F26" s="100">
        <v>0.72</v>
      </c>
      <c r="G26" s="100">
        <v>1.96</v>
      </c>
      <c r="H26" s="100">
        <v>1.64</v>
      </c>
      <c r="I26" s="100">
        <v>0.98</v>
      </c>
      <c r="J26" s="100">
        <v>1.09</v>
      </c>
      <c r="K26" s="100">
        <v>0.09</v>
      </c>
      <c r="L26" s="100">
        <v>0.45</v>
      </c>
      <c r="M26" s="100">
        <v>0.18</v>
      </c>
      <c r="N26" s="100">
        <v>0.72</v>
      </c>
      <c r="O26" s="100">
        <v>1.96</v>
      </c>
      <c r="P26" s="100">
        <v>1.64</v>
      </c>
      <c r="Q26" s="100">
        <v>0.98</v>
      </c>
      <c r="R26" s="100">
        <v>1.09</v>
      </c>
    </row>
    <row r="27" ht="16" spans="1:18">
      <c r="A27" s="100">
        <v>2.9</v>
      </c>
      <c r="B27" s="100" t="s">
        <v>41</v>
      </c>
      <c r="C27" s="100">
        <v>0.09</v>
      </c>
      <c r="D27" s="100">
        <v>0.45</v>
      </c>
      <c r="E27" s="100">
        <v>0.18</v>
      </c>
      <c r="F27" s="100">
        <v>0.72</v>
      </c>
      <c r="G27" s="100">
        <v>1.96</v>
      </c>
      <c r="H27" s="100">
        <v>1.64</v>
      </c>
      <c r="I27" s="100">
        <v>0.98</v>
      </c>
      <c r="J27" s="100">
        <v>1.09</v>
      </c>
      <c r="K27" s="100">
        <v>0.09</v>
      </c>
      <c r="L27" s="100">
        <v>0.45</v>
      </c>
      <c r="M27" s="100">
        <v>0.18</v>
      </c>
      <c r="N27" s="100">
        <v>0.72</v>
      </c>
      <c r="O27" s="100">
        <v>1.96</v>
      </c>
      <c r="P27" s="100">
        <v>1.64</v>
      </c>
      <c r="Q27" s="100">
        <v>0.98</v>
      </c>
      <c r="R27" s="100">
        <v>1.09</v>
      </c>
    </row>
    <row r="28" ht="16" spans="1:18">
      <c r="A28" s="100">
        <v>2.1</v>
      </c>
      <c r="B28" s="100" t="s">
        <v>42</v>
      </c>
      <c r="C28" s="100">
        <v>0.09</v>
      </c>
      <c r="D28" s="100">
        <v>0.45</v>
      </c>
      <c r="E28" s="100">
        <v>0.18</v>
      </c>
      <c r="F28" s="100">
        <v>0.72</v>
      </c>
      <c r="G28" s="100">
        <v>1.96</v>
      </c>
      <c r="H28" s="100">
        <v>1.64</v>
      </c>
      <c r="I28" s="100">
        <v>0.98</v>
      </c>
      <c r="J28" s="100">
        <v>1.09</v>
      </c>
      <c r="K28" s="100">
        <v>0.09</v>
      </c>
      <c r="L28" s="100">
        <v>0.45</v>
      </c>
      <c r="M28" s="100">
        <v>0.18</v>
      </c>
      <c r="N28" s="100">
        <v>0.72</v>
      </c>
      <c r="O28" s="100">
        <v>1.96</v>
      </c>
      <c r="P28" s="100">
        <v>1.64</v>
      </c>
      <c r="Q28" s="100">
        <v>0.98</v>
      </c>
      <c r="R28" s="100">
        <v>1.09</v>
      </c>
    </row>
    <row r="29" ht="16" spans="1:18">
      <c r="A29" s="100">
        <v>2.11</v>
      </c>
      <c r="B29" s="100" t="s">
        <v>43</v>
      </c>
      <c r="C29" s="100">
        <v>0.09</v>
      </c>
      <c r="D29" s="100">
        <v>0.45</v>
      </c>
      <c r="E29" s="100">
        <v>0.18</v>
      </c>
      <c r="F29" s="100">
        <v>0.72</v>
      </c>
      <c r="G29" s="100">
        <v>1.96</v>
      </c>
      <c r="H29" s="100">
        <v>1.64</v>
      </c>
      <c r="I29" s="100">
        <v>0.98</v>
      </c>
      <c r="J29" s="100">
        <v>1.09</v>
      </c>
      <c r="K29" s="100">
        <v>0.09</v>
      </c>
      <c r="L29" s="100">
        <v>0.45</v>
      </c>
      <c r="M29" s="100">
        <v>0.18</v>
      </c>
      <c r="N29" s="100">
        <v>0.72</v>
      </c>
      <c r="O29" s="100">
        <v>1.96</v>
      </c>
      <c r="P29" s="100">
        <v>1.64</v>
      </c>
      <c r="Q29" s="100">
        <v>0.98</v>
      </c>
      <c r="R29" s="100">
        <v>1.09</v>
      </c>
    </row>
    <row r="30" ht="16" spans="1:18">
      <c r="A30" s="100">
        <v>2.12</v>
      </c>
      <c r="B30" s="100" t="s">
        <v>44</v>
      </c>
      <c r="C30" s="100">
        <v>0.09</v>
      </c>
      <c r="D30" s="100">
        <v>0.45</v>
      </c>
      <c r="E30" s="100">
        <v>0.18</v>
      </c>
      <c r="F30" s="100">
        <v>0.72</v>
      </c>
      <c r="G30" s="100">
        <v>1.96</v>
      </c>
      <c r="H30" s="100">
        <v>1.64</v>
      </c>
      <c r="I30" s="100">
        <v>0.98</v>
      </c>
      <c r="J30" s="100">
        <v>1.09</v>
      </c>
      <c r="K30" s="100">
        <v>0.09</v>
      </c>
      <c r="L30" s="100">
        <v>0.45</v>
      </c>
      <c r="M30" s="100">
        <v>0.18</v>
      </c>
      <c r="N30" s="100">
        <v>0.72</v>
      </c>
      <c r="O30" s="100">
        <v>1.96</v>
      </c>
      <c r="P30" s="100">
        <v>1.64</v>
      </c>
      <c r="Q30" s="100">
        <v>0.98</v>
      </c>
      <c r="R30" s="100">
        <v>1.09</v>
      </c>
    </row>
    <row r="31" ht="16" spans="1:18">
      <c r="A31" s="100">
        <v>2.13</v>
      </c>
      <c r="B31" s="100" t="s">
        <v>45</v>
      </c>
      <c r="C31" s="100">
        <v>0.09</v>
      </c>
      <c r="D31" s="100">
        <v>0.45</v>
      </c>
      <c r="E31" s="100">
        <v>0.18</v>
      </c>
      <c r="F31" s="100">
        <v>0.72</v>
      </c>
      <c r="G31" s="100">
        <v>1.96</v>
      </c>
      <c r="H31" s="100">
        <v>1.64</v>
      </c>
      <c r="I31" s="100">
        <v>0.98</v>
      </c>
      <c r="J31" s="100">
        <v>1.09</v>
      </c>
      <c r="K31" s="100">
        <v>0.09</v>
      </c>
      <c r="L31" s="100">
        <v>0.45</v>
      </c>
      <c r="M31" s="100">
        <v>0.18</v>
      </c>
      <c r="N31" s="100">
        <v>0.72</v>
      </c>
      <c r="O31" s="100">
        <v>1.96</v>
      </c>
      <c r="P31" s="100">
        <v>1.64</v>
      </c>
      <c r="Q31" s="100">
        <v>0.98</v>
      </c>
      <c r="R31" s="100">
        <v>1.09</v>
      </c>
    </row>
    <row r="32" ht="16" spans="1:18">
      <c r="A32" s="100">
        <v>2.14</v>
      </c>
      <c r="B32" s="100" t="s">
        <v>46</v>
      </c>
      <c r="C32" s="100">
        <v>0.05</v>
      </c>
      <c r="D32" s="100">
        <v>0.23</v>
      </c>
      <c r="E32" s="100">
        <v>0.09</v>
      </c>
      <c r="F32" s="100">
        <v>0.37</v>
      </c>
      <c r="G32" s="100">
        <v>1.96</v>
      </c>
      <c r="H32" s="100">
        <v>1.64</v>
      </c>
      <c r="I32" s="100">
        <v>0.98</v>
      </c>
      <c r="J32" s="100">
        <v>0.56</v>
      </c>
      <c r="K32" s="100">
        <v>0.05</v>
      </c>
      <c r="L32" s="100">
        <v>0.23</v>
      </c>
      <c r="M32" s="100">
        <v>0.09</v>
      </c>
      <c r="N32" s="100">
        <v>0.37</v>
      </c>
      <c r="O32" s="100">
        <v>1.96</v>
      </c>
      <c r="P32" s="100">
        <v>1.64</v>
      </c>
      <c r="Q32" s="100">
        <v>0.98</v>
      </c>
      <c r="R32" s="100">
        <v>0.56</v>
      </c>
    </row>
    <row r="33" ht="16" spans="1:18">
      <c r="A33" s="100">
        <v>2.15</v>
      </c>
      <c r="B33" s="100" t="s">
        <v>47</v>
      </c>
      <c r="C33" s="100">
        <v>0.09</v>
      </c>
      <c r="D33" s="100">
        <v>0.45</v>
      </c>
      <c r="E33" s="100">
        <v>0.18</v>
      </c>
      <c r="F33" s="100">
        <v>0.72</v>
      </c>
      <c r="G33" s="100">
        <v>1.96</v>
      </c>
      <c r="H33" s="100">
        <v>1.64</v>
      </c>
      <c r="I33" s="100">
        <v>0.98</v>
      </c>
      <c r="J33" s="100">
        <v>1.09</v>
      </c>
      <c r="K33" s="100">
        <v>0.09</v>
      </c>
      <c r="L33" s="100">
        <v>0.45</v>
      </c>
      <c r="M33" s="100">
        <v>0.18</v>
      </c>
      <c r="N33" s="100">
        <v>0.72</v>
      </c>
      <c r="O33" s="100">
        <v>1.96</v>
      </c>
      <c r="P33" s="100">
        <v>1.64</v>
      </c>
      <c r="Q33" s="100">
        <v>0.98</v>
      </c>
      <c r="R33" s="100">
        <v>1.09</v>
      </c>
    </row>
    <row r="34" ht="16" spans="1:18">
      <c r="A34" s="100">
        <v>2.16</v>
      </c>
      <c r="B34" s="100" t="s">
        <v>48</v>
      </c>
      <c r="C34" s="100">
        <v>0.09</v>
      </c>
      <c r="D34" s="100">
        <v>0.45</v>
      </c>
      <c r="E34" s="100">
        <v>0.18</v>
      </c>
      <c r="F34" s="100">
        <v>0.72</v>
      </c>
      <c r="G34" s="100">
        <v>1.96</v>
      </c>
      <c r="H34" s="100">
        <v>1.64</v>
      </c>
      <c r="I34" s="100">
        <v>0.98</v>
      </c>
      <c r="J34" s="100">
        <v>1.09</v>
      </c>
      <c r="K34" s="100">
        <v>0.09</v>
      </c>
      <c r="L34" s="100">
        <v>0.45</v>
      </c>
      <c r="M34" s="100">
        <v>0.18</v>
      </c>
      <c r="N34" s="100">
        <v>0.72</v>
      </c>
      <c r="O34" s="100">
        <v>1.96</v>
      </c>
      <c r="P34" s="100">
        <v>1.64</v>
      </c>
      <c r="Q34" s="100">
        <v>0.98</v>
      </c>
      <c r="R34" s="100">
        <v>1.09</v>
      </c>
    </row>
    <row r="35" ht="16" spans="1:18">
      <c r="A35" s="100">
        <v>2.17</v>
      </c>
      <c r="B35" s="100" t="s">
        <v>49</v>
      </c>
      <c r="C35" s="100">
        <v>0.05</v>
      </c>
      <c r="D35" s="100">
        <v>0.23</v>
      </c>
      <c r="E35" s="100">
        <v>0.09</v>
      </c>
      <c r="F35" s="100">
        <v>0.37</v>
      </c>
      <c r="G35" s="100">
        <v>1.96</v>
      </c>
      <c r="H35" s="100">
        <v>1.64</v>
      </c>
      <c r="I35" s="100">
        <v>0.98</v>
      </c>
      <c r="J35" s="100">
        <v>0.56</v>
      </c>
      <c r="K35" s="100">
        <v>0.05</v>
      </c>
      <c r="L35" s="100">
        <v>0.23</v>
      </c>
      <c r="M35" s="100">
        <v>0.09</v>
      </c>
      <c r="N35" s="100">
        <v>0.37</v>
      </c>
      <c r="O35" s="100">
        <v>1.96</v>
      </c>
      <c r="P35" s="100">
        <v>1.64</v>
      </c>
      <c r="Q35" s="100">
        <v>0.98</v>
      </c>
      <c r="R35" s="100">
        <v>0.56</v>
      </c>
    </row>
    <row r="36" ht="16" spans="1:18">
      <c r="A36" s="100">
        <v>2.18</v>
      </c>
      <c r="B36" s="100" t="s">
        <v>50</v>
      </c>
      <c r="C36" s="100">
        <v>0.05</v>
      </c>
      <c r="D36" s="100">
        <v>0.23</v>
      </c>
      <c r="E36" s="100">
        <v>0.09</v>
      </c>
      <c r="F36" s="100">
        <v>0.37</v>
      </c>
      <c r="G36" s="100">
        <v>1.96</v>
      </c>
      <c r="H36" s="100">
        <v>1.64</v>
      </c>
      <c r="I36" s="100">
        <v>0.98</v>
      </c>
      <c r="J36" s="100">
        <v>0.56</v>
      </c>
      <c r="K36" s="100">
        <v>0.05</v>
      </c>
      <c r="L36" s="100">
        <v>0.23</v>
      </c>
      <c r="M36" s="100">
        <v>0.09</v>
      </c>
      <c r="N36" s="100">
        <v>0.37</v>
      </c>
      <c r="O36" s="100">
        <v>1.96</v>
      </c>
      <c r="P36" s="100">
        <v>1.64</v>
      </c>
      <c r="Q36" s="100">
        <v>0.98</v>
      </c>
      <c r="R36" s="100">
        <v>0.56</v>
      </c>
    </row>
    <row r="37" ht="16" spans="1:18">
      <c r="A37" s="100">
        <v>2.19</v>
      </c>
      <c r="B37" s="100" t="s">
        <v>51</v>
      </c>
      <c r="C37" s="100">
        <v>0.09</v>
      </c>
      <c r="D37" s="100">
        <v>0.45</v>
      </c>
      <c r="E37" s="100">
        <v>0.18</v>
      </c>
      <c r="F37" s="100">
        <v>0.72</v>
      </c>
      <c r="G37" s="100">
        <v>1.96</v>
      </c>
      <c r="H37" s="100">
        <v>1.64</v>
      </c>
      <c r="I37" s="100">
        <v>0.98</v>
      </c>
      <c r="J37" s="100">
        <v>1.09</v>
      </c>
      <c r="K37" s="100">
        <v>0.09</v>
      </c>
      <c r="L37" s="100">
        <v>0.45</v>
      </c>
      <c r="M37" s="100">
        <v>0.18</v>
      </c>
      <c r="N37" s="100">
        <v>0.72</v>
      </c>
      <c r="O37" s="100">
        <v>1.96</v>
      </c>
      <c r="P37" s="100">
        <v>1.64</v>
      </c>
      <c r="Q37" s="100">
        <v>0.98</v>
      </c>
      <c r="R37" s="100">
        <v>1.09</v>
      </c>
    </row>
    <row r="38" ht="16" spans="1:18">
      <c r="A38" s="100">
        <v>2.2</v>
      </c>
      <c r="B38" s="100" t="s">
        <v>52</v>
      </c>
      <c r="C38" s="100">
        <v>0.09</v>
      </c>
      <c r="D38" s="100">
        <v>0.45</v>
      </c>
      <c r="E38" s="100">
        <v>0.18</v>
      </c>
      <c r="F38" s="100">
        <v>0.72</v>
      </c>
      <c r="G38" s="100">
        <v>1.96</v>
      </c>
      <c r="H38" s="100">
        <v>1.64</v>
      </c>
      <c r="I38" s="100">
        <v>0.98</v>
      </c>
      <c r="J38" s="100">
        <v>1.09</v>
      </c>
      <c r="K38" s="100">
        <v>0.09</v>
      </c>
      <c r="L38" s="100">
        <v>0.45</v>
      </c>
      <c r="M38" s="100">
        <v>0.18</v>
      </c>
      <c r="N38" s="100">
        <v>0.72</v>
      </c>
      <c r="O38" s="100">
        <v>1.96</v>
      </c>
      <c r="P38" s="100">
        <v>1.64</v>
      </c>
      <c r="Q38" s="100">
        <v>0.98</v>
      </c>
      <c r="R38" s="100">
        <v>1.09</v>
      </c>
    </row>
    <row r="39" ht="16" spans="1:18">
      <c r="A39" s="100">
        <v>2.21</v>
      </c>
      <c r="B39" s="100" t="s">
        <v>53</v>
      </c>
      <c r="C39" s="100">
        <v>0.09</v>
      </c>
      <c r="D39" s="100">
        <v>0.45</v>
      </c>
      <c r="E39" s="100">
        <v>0.18</v>
      </c>
      <c r="F39" s="100">
        <v>0.72</v>
      </c>
      <c r="G39" s="100">
        <v>1.96</v>
      </c>
      <c r="H39" s="100">
        <v>1.64</v>
      </c>
      <c r="I39" s="100">
        <v>0.98</v>
      </c>
      <c r="J39" s="100">
        <v>1.09</v>
      </c>
      <c r="K39" s="100">
        <v>0.09</v>
      </c>
      <c r="L39" s="100">
        <v>0.45</v>
      </c>
      <c r="M39" s="100">
        <v>0.18</v>
      </c>
      <c r="N39" s="100">
        <v>0.72</v>
      </c>
      <c r="O39" s="100">
        <v>1.96</v>
      </c>
      <c r="P39" s="100">
        <v>1.64</v>
      </c>
      <c r="Q39" s="100">
        <v>0.98</v>
      </c>
      <c r="R39" s="100">
        <v>1.09</v>
      </c>
    </row>
    <row r="40" ht="16" spans="1:18">
      <c r="A40" s="100">
        <v>2.22</v>
      </c>
      <c r="B40" s="100" t="s">
        <v>54</v>
      </c>
      <c r="C40" s="100">
        <v>0.09</v>
      </c>
      <c r="D40" s="100">
        <v>0.45</v>
      </c>
      <c r="E40" s="100">
        <v>0.18</v>
      </c>
      <c r="F40" s="100">
        <v>0.72</v>
      </c>
      <c r="G40" s="100">
        <v>1.96</v>
      </c>
      <c r="H40" s="100">
        <v>1.64</v>
      </c>
      <c r="I40" s="100">
        <v>0.98</v>
      </c>
      <c r="J40" s="100">
        <v>1.09</v>
      </c>
      <c r="K40" s="100">
        <v>0.09</v>
      </c>
      <c r="L40" s="100">
        <v>0.45</v>
      </c>
      <c r="M40" s="100">
        <v>0.18</v>
      </c>
      <c r="N40" s="100">
        <v>0.72</v>
      </c>
      <c r="O40" s="100">
        <v>1.96</v>
      </c>
      <c r="P40" s="100">
        <v>1.64</v>
      </c>
      <c r="Q40" s="100">
        <v>0.98</v>
      </c>
      <c r="R40" s="100">
        <v>1.09</v>
      </c>
    </row>
    <row r="41" ht="16" spans="1:18">
      <c r="A41" s="100">
        <v>2.23</v>
      </c>
      <c r="B41" s="100" t="s">
        <v>55</v>
      </c>
      <c r="C41" s="100">
        <v>0.09</v>
      </c>
      <c r="D41" s="100">
        <v>0.45</v>
      </c>
      <c r="E41" s="100">
        <v>0.18</v>
      </c>
      <c r="F41" s="100">
        <v>0.72</v>
      </c>
      <c r="G41" s="100">
        <v>1.96</v>
      </c>
      <c r="H41" s="100">
        <v>1.64</v>
      </c>
      <c r="I41" s="100">
        <v>0.98</v>
      </c>
      <c r="J41" s="100">
        <v>1.09</v>
      </c>
      <c r="K41" s="100">
        <v>0.09</v>
      </c>
      <c r="L41" s="100">
        <v>0.45</v>
      </c>
      <c r="M41" s="100">
        <v>0.18</v>
      </c>
      <c r="N41" s="100">
        <v>0.72</v>
      </c>
      <c r="O41" s="100">
        <v>1.96</v>
      </c>
      <c r="P41" s="100">
        <v>1.64</v>
      </c>
      <c r="Q41" s="100">
        <v>0.98</v>
      </c>
      <c r="R41" s="100">
        <v>1.09</v>
      </c>
    </row>
    <row r="42" ht="16" spans="1:18">
      <c r="A42" s="100">
        <v>3</v>
      </c>
      <c r="B42" s="101" t="s">
        <v>56</v>
      </c>
      <c r="C42" s="101">
        <v>1.54</v>
      </c>
      <c r="D42" s="101">
        <v>7.66</v>
      </c>
      <c r="E42" s="101">
        <v>3.06</v>
      </c>
      <c r="F42" s="101">
        <v>12.26</v>
      </c>
      <c r="G42" s="101">
        <v>1.96</v>
      </c>
      <c r="H42" s="101">
        <v>1.64</v>
      </c>
      <c r="I42" s="101">
        <v>0.98</v>
      </c>
      <c r="J42" s="101">
        <v>18.56</v>
      </c>
      <c r="K42" s="101">
        <v>1.54</v>
      </c>
      <c r="L42" s="101">
        <v>7.66</v>
      </c>
      <c r="M42" s="101">
        <v>3.06</v>
      </c>
      <c r="N42" s="101">
        <v>12.26</v>
      </c>
      <c r="O42" s="101">
        <v>1.96</v>
      </c>
      <c r="P42" s="101">
        <v>1.64</v>
      </c>
      <c r="Q42" s="101">
        <v>0.98</v>
      </c>
      <c r="R42" s="101">
        <v>18.56</v>
      </c>
    </row>
    <row r="43" ht="16" spans="1:18">
      <c r="A43" s="100">
        <v>3.1</v>
      </c>
      <c r="B43" s="100" t="s">
        <v>57</v>
      </c>
      <c r="C43" s="100">
        <v>0.05</v>
      </c>
      <c r="D43" s="100">
        <v>0.23</v>
      </c>
      <c r="E43" s="100">
        <v>0.09</v>
      </c>
      <c r="F43" s="100">
        <v>0.37</v>
      </c>
      <c r="G43" s="100">
        <v>1.96</v>
      </c>
      <c r="H43" s="100">
        <v>1.64</v>
      </c>
      <c r="I43" s="100">
        <v>0.98</v>
      </c>
      <c r="J43" s="100">
        <v>0.56</v>
      </c>
      <c r="K43" s="100">
        <v>0.05</v>
      </c>
      <c r="L43" s="100">
        <v>0.23</v>
      </c>
      <c r="M43" s="100">
        <v>0.09</v>
      </c>
      <c r="N43" s="100">
        <v>0.37</v>
      </c>
      <c r="O43" s="100">
        <v>1.96</v>
      </c>
      <c r="P43" s="100">
        <v>1.64</v>
      </c>
      <c r="Q43" s="100">
        <v>0.98</v>
      </c>
      <c r="R43" s="100">
        <v>0.56</v>
      </c>
    </row>
    <row r="44" ht="16" spans="1:18">
      <c r="A44" s="100">
        <v>3.2</v>
      </c>
      <c r="B44" s="100" t="s">
        <v>58</v>
      </c>
      <c r="C44" s="100">
        <v>0.09</v>
      </c>
      <c r="D44" s="100">
        <v>0.45</v>
      </c>
      <c r="E44" s="100">
        <v>0.18</v>
      </c>
      <c r="F44" s="100">
        <v>0.72</v>
      </c>
      <c r="G44" s="100">
        <v>1.96</v>
      </c>
      <c r="H44" s="100">
        <v>1.64</v>
      </c>
      <c r="I44" s="100">
        <v>0.98</v>
      </c>
      <c r="J44" s="100">
        <v>1.09</v>
      </c>
      <c r="K44" s="100">
        <v>0.09</v>
      </c>
      <c r="L44" s="100">
        <v>0.45</v>
      </c>
      <c r="M44" s="100">
        <v>0.18</v>
      </c>
      <c r="N44" s="100">
        <v>0.72</v>
      </c>
      <c r="O44" s="100">
        <v>1.96</v>
      </c>
      <c r="P44" s="100">
        <v>1.64</v>
      </c>
      <c r="Q44" s="100">
        <v>0.98</v>
      </c>
      <c r="R44" s="100">
        <v>1.09</v>
      </c>
    </row>
    <row r="45" ht="16" spans="1:18">
      <c r="A45" s="100">
        <v>3.3</v>
      </c>
      <c r="B45" s="100" t="s">
        <v>59</v>
      </c>
      <c r="C45" s="100">
        <v>0.09</v>
      </c>
      <c r="D45" s="100">
        <v>0.45</v>
      </c>
      <c r="E45" s="100">
        <v>0.18</v>
      </c>
      <c r="F45" s="100">
        <v>0.72</v>
      </c>
      <c r="G45" s="100">
        <v>1.96</v>
      </c>
      <c r="H45" s="100">
        <v>1.64</v>
      </c>
      <c r="I45" s="100">
        <v>0.98</v>
      </c>
      <c r="J45" s="100">
        <v>1.09</v>
      </c>
      <c r="K45" s="100">
        <v>0.09</v>
      </c>
      <c r="L45" s="100">
        <v>0.45</v>
      </c>
      <c r="M45" s="100">
        <v>0.18</v>
      </c>
      <c r="N45" s="100">
        <v>0.72</v>
      </c>
      <c r="O45" s="100">
        <v>1.96</v>
      </c>
      <c r="P45" s="100">
        <v>1.64</v>
      </c>
      <c r="Q45" s="100">
        <v>0.98</v>
      </c>
      <c r="R45" s="100">
        <v>1.09</v>
      </c>
    </row>
    <row r="46" ht="16" spans="1:18">
      <c r="A46" s="100">
        <v>3.4</v>
      </c>
      <c r="B46" s="100" t="s">
        <v>60</v>
      </c>
      <c r="C46" s="100">
        <v>0.09</v>
      </c>
      <c r="D46" s="100">
        <v>0.45</v>
      </c>
      <c r="E46" s="100">
        <v>0.18</v>
      </c>
      <c r="F46" s="100">
        <v>0.72</v>
      </c>
      <c r="G46" s="100">
        <v>1.96</v>
      </c>
      <c r="H46" s="100">
        <v>1.64</v>
      </c>
      <c r="I46" s="100">
        <v>0.98</v>
      </c>
      <c r="J46" s="100">
        <v>1.09</v>
      </c>
      <c r="K46" s="100">
        <v>0.09</v>
      </c>
      <c r="L46" s="100">
        <v>0.45</v>
      </c>
      <c r="M46" s="100">
        <v>0.18</v>
      </c>
      <c r="N46" s="100">
        <v>0.72</v>
      </c>
      <c r="O46" s="100">
        <v>1.96</v>
      </c>
      <c r="P46" s="100">
        <v>1.64</v>
      </c>
      <c r="Q46" s="100">
        <v>0.98</v>
      </c>
      <c r="R46" s="100">
        <v>1.09</v>
      </c>
    </row>
    <row r="47" ht="16" spans="1:18">
      <c r="A47" s="100">
        <v>3.5</v>
      </c>
      <c r="B47" s="100" t="s">
        <v>61</v>
      </c>
      <c r="C47" s="100">
        <v>0.09</v>
      </c>
      <c r="D47" s="100">
        <v>0.45</v>
      </c>
      <c r="E47" s="100">
        <v>0.18</v>
      </c>
      <c r="F47" s="100">
        <v>0.72</v>
      </c>
      <c r="G47" s="100">
        <v>1.96</v>
      </c>
      <c r="H47" s="100">
        <v>1.64</v>
      </c>
      <c r="I47" s="100">
        <v>0.98</v>
      </c>
      <c r="J47" s="100">
        <v>1.09</v>
      </c>
      <c r="K47" s="100">
        <v>0.09</v>
      </c>
      <c r="L47" s="100">
        <v>0.45</v>
      </c>
      <c r="M47" s="100">
        <v>0.18</v>
      </c>
      <c r="N47" s="100">
        <v>0.72</v>
      </c>
      <c r="O47" s="100">
        <v>1.96</v>
      </c>
      <c r="P47" s="100">
        <v>1.64</v>
      </c>
      <c r="Q47" s="100">
        <v>0.98</v>
      </c>
      <c r="R47" s="100">
        <v>1.09</v>
      </c>
    </row>
    <row r="48" ht="16" spans="1:18">
      <c r="A48" s="100">
        <v>3.6</v>
      </c>
      <c r="B48" s="100" t="s">
        <v>62</v>
      </c>
      <c r="C48" s="100">
        <v>0.09</v>
      </c>
      <c r="D48" s="100">
        <v>0.45</v>
      </c>
      <c r="E48" s="100">
        <v>0.18</v>
      </c>
      <c r="F48" s="100">
        <v>0.72</v>
      </c>
      <c r="G48" s="100">
        <v>1.96</v>
      </c>
      <c r="H48" s="100">
        <v>1.64</v>
      </c>
      <c r="I48" s="100">
        <v>0.98</v>
      </c>
      <c r="J48" s="100">
        <v>1.09</v>
      </c>
      <c r="K48" s="100">
        <v>0.09</v>
      </c>
      <c r="L48" s="100">
        <v>0.45</v>
      </c>
      <c r="M48" s="100">
        <v>0.18</v>
      </c>
      <c r="N48" s="100">
        <v>0.72</v>
      </c>
      <c r="O48" s="100">
        <v>1.96</v>
      </c>
      <c r="P48" s="100">
        <v>1.64</v>
      </c>
      <c r="Q48" s="100">
        <v>0.98</v>
      </c>
      <c r="R48" s="100">
        <v>1.09</v>
      </c>
    </row>
    <row r="49" ht="16" spans="1:18">
      <c r="A49" s="100">
        <v>3.7</v>
      </c>
      <c r="B49" s="100" t="s">
        <v>63</v>
      </c>
      <c r="C49" s="100">
        <v>0.09</v>
      </c>
      <c r="D49" s="100">
        <v>0.45</v>
      </c>
      <c r="E49" s="100">
        <v>0.18</v>
      </c>
      <c r="F49" s="100">
        <v>0.72</v>
      </c>
      <c r="G49" s="100">
        <v>1.96</v>
      </c>
      <c r="H49" s="100">
        <v>1.64</v>
      </c>
      <c r="I49" s="100">
        <v>0.98</v>
      </c>
      <c r="J49" s="100">
        <v>1.09</v>
      </c>
      <c r="K49" s="100">
        <v>0.09</v>
      </c>
      <c r="L49" s="100">
        <v>0.45</v>
      </c>
      <c r="M49" s="100">
        <v>0.18</v>
      </c>
      <c r="N49" s="100">
        <v>0.72</v>
      </c>
      <c r="O49" s="100">
        <v>1.96</v>
      </c>
      <c r="P49" s="100">
        <v>1.64</v>
      </c>
      <c r="Q49" s="100">
        <v>0.98</v>
      </c>
      <c r="R49" s="100">
        <v>1.09</v>
      </c>
    </row>
    <row r="50" ht="16" spans="1:18">
      <c r="A50" s="100">
        <v>3.8</v>
      </c>
      <c r="B50" s="100" t="s">
        <v>64</v>
      </c>
      <c r="C50" s="100">
        <v>0.09</v>
      </c>
      <c r="D50" s="100">
        <v>0.45</v>
      </c>
      <c r="E50" s="100">
        <v>0.18</v>
      </c>
      <c r="F50" s="100">
        <v>0.72</v>
      </c>
      <c r="G50" s="100">
        <v>1.96</v>
      </c>
      <c r="H50" s="100">
        <v>1.64</v>
      </c>
      <c r="I50" s="100">
        <v>0.98</v>
      </c>
      <c r="J50" s="100">
        <v>1.09</v>
      </c>
      <c r="K50" s="100">
        <v>0.09</v>
      </c>
      <c r="L50" s="100">
        <v>0.45</v>
      </c>
      <c r="M50" s="100">
        <v>0.18</v>
      </c>
      <c r="N50" s="100">
        <v>0.72</v>
      </c>
      <c r="O50" s="100">
        <v>1.96</v>
      </c>
      <c r="P50" s="100">
        <v>1.64</v>
      </c>
      <c r="Q50" s="100">
        <v>0.98</v>
      </c>
      <c r="R50" s="100">
        <v>1.09</v>
      </c>
    </row>
    <row r="51" ht="16" spans="1:18">
      <c r="A51" s="100">
        <v>3.9</v>
      </c>
      <c r="B51" s="100" t="s">
        <v>65</v>
      </c>
      <c r="C51" s="100">
        <v>0.09</v>
      </c>
      <c r="D51" s="100">
        <v>0.45</v>
      </c>
      <c r="E51" s="100">
        <v>0.18</v>
      </c>
      <c r="F51" s="100">
        <v>0.72</v>
      </c>
      <c r="G51" s="100">
        <v>1.96</v>
      </c>
      <c r="H51" s="100">
        <v>1.64</v>
      </c>
      <c r="I51" s="100">
        <v>0.98</v>
      </c>
      <c r="J51" s="100">
        <v>1.09</v>
      </c>
      <c r="K51" s="100">
        <v>0.09</v>
      </c>
      <c r="L51" s="100">
        <v>0.45</v>
      </c>
      <c r="M51" s="100">
        <v>0.18</v>
      </c>
      <c r="N51" s="100">
        <v>0.72</v>
      </c>
      <c r="O51" s="100">
        <v>1.96</v>
      </c>
      <c r="P51" s="100">
        <v>1.64</v>
      </c>
      <c r="Q51" s="100">
        <v>0.98</v>
      </c>
      <c r="R51" s="100">
        <v>1.09</v>
      </c>
    </row>
    <row r="52" ht="16" spans="1:18">
      <c r="A52" s="100">
        <v>3.1</v>
      </c>
      <c r="B52" s="100" t="s">
        <v>66</v>
      </c>
      <c r="C52" s="100">
        <v>0.09</v>
      </c>
      <c r="D52" s="100">
        <v>0.45</v>
      </c>
      <c r="E52" s="100">
        <v>0.18</v>
      </c>
      <c r="F52" s="100">
        <v>0.72</v>
      </c>
      <c r="G52" s="100">
        <v>1.96</v>
      </c>
      <c r="H52" s="100">
        <v>1.64</v>
      </c>
      <c r="I52" s="100">
        <v>0.98</v>
      </c>
      <c r="J52" s="100">
        <v>1.09</v>
      </c>
      <c r="K52" s="100">
        <v>0.09</v>
      </c>
      <c r="L52" s="100">
        <v>0.45</v>
      </c>
      <c r="M52" s="100">
        <v>0.18</v>
      </c>
      <c r="N52" s="100">
        <v>0.72</v>
      </c>
      <c r="O52" s="100">
        <v>1.96</v>
      </c>
      <c r="P52" s="100">
        <v>1.64</v>
      </c>
      <c r="Q52" s="100">
        <v>0.98</v>
      </c>
      <c r="R52" s="100">
        <v>1.09</v>
      </c>
    </row>
    <row r="53" ht="16" spans="1:18">
      <c r="A53" s="100">
        <v>3.11</v>
      </c>
      <c r="B53" s="100" t="s">
        <v>67</v>
      </c>
      <c r="C53" s="100">
        <v>0.09</v>
      </c>
      <c r="D53" s="100">
        <v>0.45</v>
      </c>
      <c r="E53" s="100">
        <v>0.18</v>
      </c>
      <c r="F53" s="100">
        <v>0.72</v>
      </c>
      <c r="G53" s="100">
        <v>1.96</v>
      </c>
      <c r="H53" s="100">
        <v>1.64</v>
      </c>
      <c r="I53" s="100">
        <v>0.98</v>
      </c>
      <c r="J53" s="100">
        <v>1.09</v>
      </c>
      <c r="K53" s="100">
        <v>0.09</v>
      </c>
      <c r="L53" s="100">
        <v>0.45</v>
      </c>
      <c r="M53" s="100">
        <v>0.18</v>
      </c>
      <c r="N53" s="100">
        <v>0.72</v>
      </c>
      <c r="O53" s="100">
        <v>1.96</v>
      </c>
      <c r="P53" s="100">
        <v>1.64</v>
      </c>
      <c r="Q53" s="100">
        <v>0.98</v>
      </c>
      <c r="R53" s="100">
        <v>1.09</v>
      </c>
    </row>
    <row r="54" ht="16" spans="1:18">
      <c r="A54" s="100">
        <v>3.12</v>
      </c>
      <c r="B54" s="100" t="s">
        <v>68</v>
      </c>
      <c r="C54" s="100">
        <v>0.09</v>
      </c>
      <c r="D54" s="100">
        <v>0.45</v>
      </c>
      <c r="E54" s="100">
        <v>0.18</v>
      </c>
      <c r="F54" s="100">
        <v>0.72</v>
      </c>
      <c r="G54" s="100">
        <v>1.96</v>
      </c>
      <c r="H54" s="100">
        <v>1.64</v>
      </c>
      <c r="I54" s="100">
        <v>0.98</v>
      </c>
      <c r="J54" s="100">
        <v>1.09</v>
      </c>
      <c r="K54" s="100">
        <v>0.09</v>
      </c>
      <c r="L54" s="100">
        <v>0.45</v>
      </c>
      <c r="M54" s="100">
        <v>0.18</v>
      </c>
      <c r="N54" s="100">
        <v>0.72</v>
      </c>
      <c r="O54" s="100">
        <v>1.96</v>
      </c>
      <c r="P54" s="100">
        <v>1.64</v>
      </c>
      <c r="Q54" s="100">
        <v>0.98</v>
      </c>
      <c r="R54" s="100">
        <v>1.09</v>
      </c>
    </row>
    <row r="55" ht="16" spans="1:18">
      <c r="A55" s="100">
        <v>3.13</v>
      </c>
      <c r="B55" s="100" t="s">
        <v>69</v>
      </c>
      <c r="C55" s="100">
        <v>0.05</v>
      </c>
      <c r="D55" s="100">
        <v>0.23</v>
      </c>
      <c r="E55" s="100">
        <v>0.09</v>
      </c>
      <c r="F55" s="100">
        <v>0.37</v>
      </c>
      <c r="G55" s="100">
        <v>1.96</v>
      </c>
      <c r="H55" s="100">
        <v>1.64</v>
      </c>
      <c r="I55" s="100">
        <v>0.98</v>
      </c>
      <c r="J55" s="100">
        <v>0.56</v>
      </c>
      <c r="K55" s="100">
        <v>0.05</v>
      </c>
      <c r="L55" s="100">
        <v>0.23</v>
      </c>
      <c r="M55" s="100">
        <v>0.09</v>
      </c>
      <c r="N55" s="100">
        <v>0.37</v>
      </c>
      <c r="O55" s="100">
        <v>1.96</v>
      </c>
      <c r="P55" s="100">
        <v>1.64</v>
      </c>
      <c r="Q55" s="100">
        <v>0.98</v>
      </c>
      <c r="R55" s="100">
        <v>0.56</v>
      </c>
    </row>
    <row r="56" ht="16" spans="1:18">
      <c r="A56" s="100">
        <v>3.14</v>
      </c>
      <c r="B56" s="100" t="s">
        <v>70</v>
      </c>
      <c r="C56" s="100">
        <v>0.09</v>
      </c>
      <c r="D56" s="100">
        <v>0.45</v>
      </c>
      <c r="E56" s="100">
        <v>0.18</v>
      </c>
      <c r="F56" s="100">
        <v>0.72</v>
      </c>
      <c r="G56" s="100">
        <v>1.96</v>
      </c>
      <c r="H56" s="100">
        <v>1.64</v>
      </c>
      <c r="I56" s="100">
        <v>0.98</v>
      </c>
      <c r="J56" s="100">
        <v>1.09</v>
      </c>
      <c r="K56" s="100">
        <v>0.09</v>
      </c>
      <c r="L56" s="100">
        <v>0.45</v>
      </c>
      <c r="M56" s="100">
        <v>0.18</v>
      </c>
      <c r="N56" s="100">
        <v>0.72</v>
      </c>
      <c r="O56" s="100">
        <v>1.96</v>
      </c>
      <c r="P56" s="100">
        <v>1.64</v>
      </c>
      <c r="Q56" s="100">
        <v>0.98</v>
      </c>
      <c r="R56" s="100">
        <v>1.09</v>
      </c>
    </row>
    <row r="57" ht="16" spans="1:18">
      <c r="A57" s="100">
        <v>3.15</v>
      </c>
      <c r="B57" s="100" t="s">
        <v>71</v>
      </c>
      <c r="C57" s="100">
        <v>0.09</v>
      </c>
      <c r="D57" s="100">
        <v>0.45</v>
      </c>
      <c r="E57" s="100">
        <v>0.18</v>
      </c>
      <c r="F57" s="100">
        <v>0.72</v>
      </c>
      <c r="G57" s="100">
        <v>1.96</v>
      </c>
      <c r="H57" s="100">
        <v>1.64</v>
      </c>
      <c r="I57" s="100">
        <v>0.98</v>
      </c>
      <c r="J57" s="100">
        <v>1.09</v>
      </c>
      <c r="K57" s="100">
        <v>0.09</v>
      </c>
      <c r="L57" s="100">
        <v>0.45</v>
      </c>
      <c r="M57" s="100">
        <v>0.18</v>
      </c>
      <c r="N57" s="100">
        <v>0.72</v>
      </c>
      <c r="O57" s="100">
        <v>1.96</v>
      </c>
      <c r="P57" s="100">
        <v>1.64</v>
      </c>
      <c r="Q57" s="100">
        <v>0.98</v>
      </c>
      <c r="R57" s="100">
        <v>1.09</v>
      </c>
    </row>
    <row r="58" ht="16" spans="1:18">
      <c r="A58" s="100">
        <v>3.16</v>
      </c>
      <c r="B58" s="100" t="s">
        <v>72</v>
      </c>
      <c r="C58" s="100">
        <v>0.09</v>
      </c>
      <c r="D58" s="100">
        <v>0.45</v>
      </c>
      <c r="E58" s="100">
        <v>0.18</v>
      </c>
      <c r="F58" s="100">
        <v>0.72</v>
      </c>
      <c r="G58" s="100">
        <v>1.96</v>
      </c>
      <c r="H58" s="100">
        <v>1.64</v>
      </c>
      <c r="I58" s="100">
        <v>0.98</v>
      </c>
      <c r="J58" s="100">
        <v>1.09</v>
      </c>
      <c r="K58" s="100">
        <v>0.09</v>
      </c>
      <c r="L58" s="100">
        <v>0.45</v>
      </c>
      <c r="M58" s="100">
        <v>0.18</v>
      </c>
      <c r="N58" s="100">
        <v>0.72</v>
      </c>
      <c r="O58" s="100">
        <v>1.96</v>
      </c>
      <c r="P58" s="100">
        <v>1.64</v>
      </c>
      <c r="Q58" s="100">
        <v>0.98</v>
      </c>
      <c r="R58" s="100">
        <v>1.09</v>
      </c>
    </row>
    <row r="59" ht="16" spans="1:18">
      <c r="A59" s="100">
        <v>3.17</v>
      </c>
      <c r="B59" s="100" t="s">
        <v>73</v>
      </c>
      <c r="C59" s="100">
        <v>0.09</v>
      </c>
      <c r="D59" s="100">
        <v>0.45</v>
      </c>
      <c r="E59" s="100">
        <v>0.18</v>
      </c>
      <c r="F59" s="100">
        <v>0.72</v>
      </c>
      <c r="G59" s="100">
        <v>1.96</v>
      </c>
      <c r="H59" s="100">
        <v>1.64</v>
      </c>
      <c r="I59" s="100">
        <v>0.98</v>
      </c>
      <c r="J59" s="100">
        <v>1.09</v>
      </c>
      <c r="K59" s="100">
        <v>0.09</v>
      </c>
      <c r="L59" s="100">
        <v>0.45</v>
      </c>
      <c r="M59" s="100">
        <v>0.18</v>
      </c>
      <c r="N59" s="100">
        <v>0.72</v>
      </c>
      <c r="O59" s="100">
        <v>1.96</v>
      </c>
      <c r="P59" s="100">
        <v>1.64</v>
      </c>
      <c r="Q59" s="100">
        <v>0.98</v>
      </c>
      <c r="R59" s="100">
        <v>1.09</v>
      </c>
    </row>
    <row r="60" ht="16" spans="1:18">
      <c r="A60" s="100">
        <v>3.18</v>
      </c>
      <c r="B60" s="100" t="s">
        <v>74</v>
      </c>
      <c r="C60" s="100">
        <v>0.09</v>
      </c>
      <c r="D60" s="100">
        <v>0.45</v>
      </c>
      <c r="E60" s="100">
        <v>0.18</v>
      </c>
      <c r="F60" s="100">
        <v>0.72</v>
      </c>
      <c r="G60" s="100">
        <v>1.96</v>
      </c>
      <c r="H60" s="100">
        <v>1.64</v>
      </c>
      <c r="I60" s="100">
        <v>0.98</v>
      </c>
      <c r="J60" s="100">
        <v>1.09</v>
      </c>
      <c r="K60" s="100">
        <v>0.09</v>
      </c>
      <c r="L60" s="100">
        <v>0.45</v>
      </c>
      <c r="M60" s="100">
        <v>0.18</v>
      </c>
      <c r="N60" s="100">
        <v>0.72</v>
      </c>
      <c r="O60" s="100">
        <v>1.96</v>
      </c>
      <c r="P60" s="100">
        <v>1.64</v>
      </c>
      <c r="Q60" s="100">
        <v>0.98</v>
      </c>
      <c r="R60" s="100">
        <v>1.09</v>
      </c>
    </row>
    <row r="61" ht="16" spans="1:18">
      <c r="A61" s="100">
        <v>4</v>
      </c>
      <c r="B61" s="101" t="s">
        <v>75</v>
      </c>
      <c r="C61" s="101">
        <v>0.54</v>
      </c>
      <c r="D61" s="101">
        <v>2.73</v>
      </c>
      <c r="E61" s="101">
        <v>1.08</v>
      </c>
      <c r="F61" s="101">
        <v>4.35</v>
      </c>
      <c r="G61" s="101">
        <v>1.96</v>
      </c>
      <c r="H61" s="101">
        <v>1.64</v>
      </c>
      <c r="I61" s="101">
        <v>0.98</v>
      </c>
      <c r="J61" s="101">
        <v>6.6</v>
      </c>
      <c r="K61" s="101">
        <v>0.54</v>
      </c>
      <c r="L61" s="101">
        <v>2.73</v>
      </c>
      <c r="M61" s="101">
        <v>1.08</v>
      </c>
      <c r="N61" s="101">
        <v>4.35</v>
      </c>
      <c r="O61" s="101">
        <v>1.96</v>
      </c>
      <c r="P61" s="101">
        <v>1.64</v>
      </c>
      <c r="Q61" s="101">
        <v>0.98</v>
      </c>
      <c r="R61" s="101">
        <v>6.6</v>
      </c>
    </row>
    <row r="62" ht="16" spans="1:18">
      <c r="A62" s="100">
        <v>4.1</v>
      </c>
      <c r="B62" s="100" t="s">
        <v>76</v>
      </c>
      <c r="C62" s="100">
        <v>0.18</v>
      </c>
      <c r="D62" s="100">
        <v>0.91</v>
      </c>
      <c r="E62" s="100">
        <v>0.36</v>
      </c>
      <c r="F62" s="100">
        <v>1.45</v>
      </c>
      <c r="G62" s="100">
        <v>1.96</v>
      </c>
      <c r="H62" s="100">
        <v>1.64</v>
      </c>
      <c r="I62" s="100">
        <v>0.98</v>
      </c>
      <c r="J62" s="100">
        <v>2.2</v>
      </c>
      <c r="K62" s="100">
        <v>0.18</v>
      </c>
      <c r="L62" s="100">
        <v>0.91</v>
      </c>
      <c r="M62" s="100">
        <v>0.36</v>
      </c>
      <c r="N62" s="100">
        <v>1.45</v>
      </c>
      <c r="O62" s="100">
        <v>1.96</v>
      </c>
      <c r="P62" s="100">
        <v>1.64</v>
      </c>
      <c r="Q62" s="100">
        <v>0.98</v>
      </c>
      <c r="R62" s="100">
        <v>2.2</v>
      </c>
    </row>
    <row r="63" ht="16" spans="1:18">
      <c r="A63" s="100">
        <v>4.2</v>
      </c>
      <c r="B63" s="100" t="s">
        <v>77</v>
      </c>
      <c r="C63" s="100">
        <v>0.18</v>
      </c>
      <c r="D63" s="100">
        <v>0.91</v>
      </c>
      <c r="E63" s="100">
        <v>0.36</v>
      </c>
      <c r="F63" s="100">
        <v>1.45</v>
      </c>
      <c r="G63" s="100">
        <v>1.96</v>
      </c>
      <c r="H63" s="100">
        <v>1.64</v>
      </c>
      <c r="I63" s="100">
        <v>0.98</v>
      </c>
      <c r="J63" s="100">
        <v>2.2</v>
      </c>
      <c r="K63" s="100">
        <v>0.18</v>
      </c>
      <c r="L63" s="100">
        <v>0.91</v>
      </c>
      <c r="M63" s="100">
        <v>0.36</v>
      </c>
      <c r="N63" s="100">
        <v>1.45</v>
      </c>
      <c r="O63" s="100">
        <v>1.96</v>
      </c>
      <c r="P63" s="100">
        <v>1.64</v>
      </c>
      <c r="Q63" s="100">
        <v>0.98</v>
      </c>
      <c r="R63" s="100">
        <v>2.2</v>
      </c>
    </row>
    <row r="64" ht="16" spans="1:18">
      <c r="A64" s="100">
        <v>4.3</v>
      </c>
      <c r="B64" s="100" t="s">
        <v>78</v>
      </c>
      <c r="C64" s="100">
        <v>0.18</v>
      </c>
      <c r="D64" s="100">
        <v>0.91</v>
      </c>
      <c r="E64" s="100">
        <v>0.36</v>
      </c>
      <c r="F64" s="100">
        <v>1.45</v>
      </c>
      <c r="G64" s="100">
        <v>1.96</v>
      </c>
      <c r="H64" s="100">
        <v>1.64</v>
      </c>
      <c r="I64" s="100">
        <v>0.98</v>
      </c>
      <c r="J64" s="100">
        <v>2.2</v>
      </c>
      <c r="K64" s="100">
        <v>0.18</v>
      </c>
      <c r="L64" s="100">
        <v>0.91</v>
      </c>
      <c r="M64" s="100">
        <v>0.36</v>
      </c>
      <c r="N64" s="100">
        <v>1.45</v>
      </c>
      <c r="O64" s="100">
        <v>1.96</v>
      </c>
      <c r="P64" s="100">
        <v>1.64</v>
      </c>
      <c r="Q64" s="100">
        <v>0.98</v>
      </c>
      <c r="R64" s="100">
        <v>2.2</v>
      </c>
    </row>
    <row r="65" ht="16" spans="1:18">
      <c r="A65" s="100">
        <v>5</v>
      </c>
      <c r="B65" s="101" t="s">
        <v>79</v>
      </c>
      <c r="C65" s="101">
        <v>1.08</v>
      </c>
      <c r="D65" s="101">
        <v>5.46</v>
      </c>
      <c r="E65" s="101">
        <v>2.16</v>
      </c>
      <c r="F65" s="101">
        <v>8.7</v>
      </c>
      <c r="G65" s="101">
        <v>1.96</v>
      </c>
      <c r="H65" s="101">
        <v>1.64</v>
      </c>
      <c r="I65" s="101">
        <v>0.98</v>
      </c>
      <c r="J65" s="101">
        <v>13.2</v>
      </c>
      <c r="K65" s="101">
        <v>1.08</v>
      </c>
      <c r="L65" s="101">
        <v>5.46</v>
      </c>
      <c r="M65" s="101">
        <v>2.16</v>
      </c>
      <c r="N65" s="101">
        <v>8.7</v>
      </c>
      <c r="O65" s="101">
        <v>1.96</v>
      </c>
      <c r="P65" s="101">
        <v>1.64</v>
      </c>
      <c r="Q65" s="101">
        <v>0.98</v>
      </c>
      <c r="R65" s="101">
        <v>13.2</v>
      </c>
    </row>
    <row r="66" ht="16" spans="1:18">
      <c r="A66" s="100">
        <v>5.1</v>
      </c>
      <c r="B66" s="100" t="s">
        <v>80</v>
      </c>
      <c r="C66" s="100">
        <v>0.18</v>
      </c>
      <c r="D66" s="100">
        <v>0.91</v>
      </c>
      <c r="E66" s="100">
        <v>0.36</v>
      </c>
      <c r="F66" s="100">
        <v>1.45</v>
      </c>
      <c r="G66" s="100">
        <v>1.96</v>
      </c>
      <c r="H66" s="100">
        <v>1.64</v>
      </c>
      <c r="I66" s="100">
        <v>0.98</v>
      </c>
      <c r="J66" s="100">
        <v>2.2</v>
      </c>
      <c r="K66" s="100">
        <v>0.18</v>
      </c>
      <c r="L66" s="100">
        <v>0.91</v>
      </c>
      <c r="M66" s="100">
        <v>0.36</v>
      </c>
      <c r="N66" s="100">
        <v>1.45</v>
      </c>
      <c r="O66" s="100">
        <v>1.96</v>
      </c>
      <c r="P66" s="100">
        <v>1.64</v>
      </c>
      <c r="Q66" s="100">
        <v>0.98</v>
      </c>
      <c r="R66" s="100">
        <v>2.2</v>
      </c>
    </row>
    <row r="67" ht="16" spans="1:18">
      <c r="A67" s="100">
        <v>5.2</v>
      </c>
      <c r="B67" s="100" t="s">
        <v>81</v>
      </c>
      <c r="C67" s="100">
        <v>0.18</v>
      </c>
      <c r="D67" s="100">
        <v>0.91</v>
      </c>
      <c r="E67" s="100">
        <v>0.36</v>
      </c>
      <c r="F67" s="100">
        <v>1.45</v>
      </c>
      <c r="G67" s="100">
        <v>1.96</v>
      </c>
      <c r="H67" s="100">
        <v>1.64</v>
      </c>
      <c r="I67" s="100">
        <v>0.98</v>
      </c>
      <c r="J67" s="100">
        <v>2.2</v>
      </c>
      <c r="K67" s="100">
        <v>0.18</v>
      </c>
      <c r="L67" s="100">
        <v>0.91</v>
      </c>
      <c r="M67" s="100">
        <v>0.36</v>
      </c>
      <c r="N67" s="100">
        <v>1.45</v>
      </c>
      <c r="O67" s="100">
        <v>1.96</v>
      </c>
      <c r="P67" s="100">
        <v>1.64</v>
      </c>
      <c r="Q67" s="100">
        <v>0.98</v>
      </c>
      <c r="R67" s="100">
        <v>2.2</v>
      </c>
    </row>
    <row r="68" ht="16" spans="1:18">
      <c r="A68" s="100">
        <v>5.3</v>
      </c>
      <c r="B68" s="100" t="s">
        <v>82</v>
      </c>
      <c r="C68" s="100">
        <v>0.18</v>
      </c>
      <c r="D68" s="100">
        <v>0.91</v>
      </c>
      <c r="E68" s="100">
        <v>0.36</v>
      </c>
      <c r="F68" s="100">
        <v>1.45</v>
      </c>
      <c r="G68" s="100">
        <v>1.96</v>
      </c>
      <c r="H68" s="100">
        <v>1.64</v>
      </c>
      <c r="I68" s="100">
        <v>0.98</v>
      </c>
      <c r="J68" s="100">
        <v>2.2</v>
      </c>
      <c r="K68" s="100">
        <v>0.18</v>
      </c>
      <c r="L68" s="100">
        <v>0.91</v>
      </c>
      <c r="M68" s="100">
        <v>0.36</v>
      </c>
      <c r="N68" s="100">
        <v>1.45</v>
      </c>
      <c r="O68" s="100">
        <v>1.96</v>
      </c>
      <c r="P68" s="100">
        <v>1.64</v>
      </c>
      <c r="Q68" s="100">
        <v>0.98</v>
      </c>
      <c r="R68" s="100">
        <v>2.2</v>
      </c>
    </row>
    <row r="69" ht="16" spans="1:18">
      <c r="A69" s="100">
        <v>5.4</v>
      </c>
      <c r="B69" s="100" t="s">
        <v>83</v>
      </c>
      <c r="C69" s="100">
        <v>0.18</v>
      </c>
      <c r="D69" s="100">
        <v>0.91</v>
      </c>
      <c r="E69" s="100">
        <v>0.36</v>
      </c>
      <c r="F69" s="100">
        <v>1.45</v>
      </c>
      <c r="G69" s="100">
        <v>1.96</v>
      </c>
      <c r="H69" s="100">
        <v>1.64</v>
      </c>
      <c r="I69" s="100">
        <v>0.98</v>
      </c>
      <c r="J69" s="100">
        <v>2.2</v>
      </c>
      <c r="K69" s="100">
        <v>0.18</v>
      </c>
      <c r="L69" s="100">
        <v>0.91</v>
      </c>
      <c r="M69" s="100">
        <v>0.36</v>
      </c>
      <c r="N69" s="100">
        <v>1.45</v>
      </c>
      <c r="O69" s="100">
        <v>1.96</v>
      </c>
      <c r="P69" s="100">
        <v>1.64</v>
      </c>
      <c r="Q69" s="100">
        <v>0.98</v>
      </c>
      <c r="R69" s="100">
        <v>2.2</v>
      </c>
    </row>
    <row r="70" ht="16" spans="1:18">
      <c r="A70" s="100">
        <v>5.5</v>
      </c>
      <c r="B70" s="100" t="s">
        <v>84</v>
      </c>
      <c r="C70" s="100">
        <v>0.18</v>
      </c>
      <c r="D70" s="100">
        <v>0.91</v>
      </c>
      <c r="E70" s="100">
        <v>0.36</v>
      </c>
      <c r="F70" s="100">
        <v>1.45</v>
      </c>
      <c r="G70" s="100">
        <v>1.96</v>
      </c>
      <c r="H70" s="100">
        <v>1.64</v>
      </c>
      <c r="I70" s="100">
        <v>0.98</v>
      </c>
      <c r="J70" s="100">
        <v>2.2</v>
      </c>
      <c r="K70" s="100">
        <v>0.18</v>
      </c>
      <c r="L70" s="100">
        <v>0.91</v>
      </c>
      <c r="M70" s="100">
        <v>0.36</v>
      </c>
      <c r="N70" s="100">
        <v>1.45</v>
      </c>
      <c r="O70" s="100">
        <v>1.96</v>
      </c>
      <c r="P70" s="100">
        <v>1.64</v>
      </c>
      <c r="Q70" s="100">
        <v>0.98</v>
      </c>
      <c r="R70" s="100">
        <v>2.2</v>
      </c>
    </row>
    <row r="71" ht="16" spans="1:18">
      <c r="A71" s="100">
        <v>5.6</v>
      </c>
      <c r="B71" s="100" t="s">
        <v>85</v>
      </c>
      <c r="C71" s="100">
        <v>0.18</v>
      </c>
      <c r="D71" s="100">
        <v>0.91</v>
      </c>
      <c r="E71" s="100">
        <v>0.36</v>
      </c>
      <c r="F71" s="100">
        <v>1.45</v>
      </c>
      <c r="G71" s="100">
        <v>1.96</v>
      </c>
      <c r="H71" s="100">
        <v>1.64</v>
      </c>
      <c r="I71" s="100">
        <v>0.98</v>
      </c>
      <c r="J71" s="100">
        <v>2.2</v>
      </c>
      <c r="K71" s="100">
        <v>0.18</v>
      </c>
      <c r="L71" s="100">
        <v>0.91</v>
      </c>
      <c r="M71" s="100">
        <v>0.36</v>
      </c>
      <c r="N71" s="100">
        <v>1.45</v>
      </c>
      <c r="O71" s="100">
        <v>1.96</v>
      </c>
      <c r="P71" s="100">
        <v>1.64</v>
      </c>
      <c r="Q71" s="100">
        <v>0.98</v>
      </c>
      <c r="R71" s="100">
        <v>2.2</v>
      </c>
    </row>
    <row r="72" ht="16" spans="1:18">
      <c r="A72" s="100">
        <v>6</v>
      </c>
      <c r="B72" s="101" t="s">
        <v>86</v>
      </c>
      <c r="C72" s="101">
        <v>0.9</v>
      </c>
      <c r="D72" s="101">
        <v>4.55</v>
      </c>
      <c r="E72" s="101">
        <v>1.8</v>
      </c>
      <c r="F72" s="101">
        <v>7.25</v>
      </c>
      <c r="G72" s="101">
        <v>1.96</v>
      </c>
      <c r="H72" s="101">
        <v>1.64</v>
      </c>
      <c r="I72" s="101">
        <v>0.98</v>
      </c>
      <c r="J72" s="101">
        <v>11</v>
      </c>
      <c r="K72" s="101">
        <v>0.9</v>
      </c>
      <c r="L72" s="101">
        <v>4.55</v>
      </c>
      <c r="M72" s="101">
        <v>1.8</v>
      </c>
      <c r="N72" s="101">
        <v>7.25</v>
      </c>
      <c r="O72" s="101">
        <v>1.96</v>
      </c>
      <c r="P72" s="101">
        <v>1.64</v>
      </c>
      <c r="Q72" s="101">
        <v>0.98</v>
      </c>
      <c r="R72" s="101">
        <v>11</v>
      </c>
    </row>
    <row r="73" ht="16" spans="1:18">
      <c r="A73" s="100">
        <v>6.1</v>
      </c>
      <c r="B73" s="100" t="s">
        <v>87</v>
      </c>
      <c r="C73" s="100">
        <v>0.18</v>
      </c>
      <c r="D73" s="100">
        <v>0.91</v>
      </c>
      <c r="E73" s="100">
        <v>0.36</v>
      </c>
      <c r="F73" s="100">
        <v>1.45</v>
      </c>
      <c r="G73" s="100">
        <v>1.96</v>
      </c>
      <c r="H73" s="100">
        <v>1.64</v>
      </c>
      <c r="I73" s="100">
        <v>0.98</v>
      </c>
      <c r="J73" s="100">
        <v>2.2</v>
      </c>
      <c r="K73" s="100">
        <v>0.18</v>
      </c>
      <c r="L73" s="100">
        <v>0.91</v>
      </c>
      <c r="M73" s="100">
        <v>0.36</v>
      </c>
      <c r="N73" s="100">
        <v>1.45</v>
      </c>
      <c r="O73" s="100">
        <v>1.96</v>
      </c>
      <c r="P73" s="100">
        <v>1.64</v>
      </c>
      <c r="Q73" s="100">
        <v>0.98</v>
      </c>
      <c r="R73" s="100">
        <v>2.2</v>
      </c>
    </row>
    <row r="74" ht="16" spans="1:18">
      <c r="A74" s="100">
        <v>6.2</v>
      </c>
      <c r="B74" s="100" t="s">
        <v>88</v>
      </c>
      <c r="C74" s="100">
        <v>0.18</v>
      </c>
      <c r="D74" s="100">
        <v>0.91</v>
      </c>
      <c r="E74" s="100">
        <v>0.36</v>
      </c>
      <c r="F74" s="100">
        <v>1.45</v>
      </c>
      <c r="G74" s="100">
        <v>1.96</v>
      </c>
      <c r="H74" s="100">
        <v>1.64</v>
      </c>
      <c r="I74" s="100">
        <v>0.98</v>
      </c>
      <c r="J74" s="100">
        <v>2.2</v>
      </c>
      <c r="K74" s="100">
        <v>0.18</v>
      </c>
      <c r="L74" s="100">
        <v>0.91</v>
      </c>
      <c r="M74" s="100">
        <v>0.36</v>
      </c>
      <c r="N74" s="100">
        <v>1.45</v>
      </c>
      <c r="O74" s="100">
        <v>1.96</v>
      </c>
      <c r="P74" s="100">
        <v>1.64</v>
      </c>
      <c r="Q74" s="100">
        <v>0.98</v>
      </c>
      <c r="R74" s="100">
        <v>2.2</v>
      </c>
    </row>
    <row r="75" ht="16" spans="1:18">
      <c r="A75" s="100">
        <v>6.3</v>
      </c>
      <c r="B75" s="100" t="s">
        <v>89</v>
      </c>
      <c r="C75" s="100">
        <v>0.18</v>
      </c>
      <c r="D75" s="100">
        <v>0.91</v>
      </c>
      <c r="E75" s="100">
        <v>0.36</v>
      </c>
      <c r="F75" s="100">
        <v>1.45</v>
      </c>
      <c r="G75" s="100">
        <v>1.96</v>
      </c>
      <c r="H75" s="100">
        <v>1.64</v>
      </c>
      <c r="I75" s="100">
        <v>0.98</v>
      </c>
      <c r="J75" s="100">
        <v>2.2</v>
      </c>
      <c r="K75" s="100">
        <v>0.18</v>
      </c>
      <c r="L75" s="100">
        <v>0.91</v>
      </c>
      <c r="M75" s="100">
        <v>0.36</v>
      </c>
      <c r="N75" s="100">
        <v>1.45</v>
      </c>
      <c r="O75" s="100">
        <v>1.96</v>
      </c>
      <c r="P75" s="100">
        <v>1.64</v>
      </c>
      <c r="Q75" s="100">
        <v>0.98</v>
      </c>
      <c r="R75" s="100">
        <v>2.2</v>
      </c>
    </row>
    <row r="76" ht="16" spans="1:18">
      <c r="A76" s="100">
        <v>6.4</v>
      </c>
      <c r="B76" s="100" t="s">
        <v>86</v>
      </c>
      <c r="C76" s="100">
        <v>0.18</v>
      </c>
      <c r="D76" s="100">
        <v>0.91</v>
      </c>
      <c r="E76" s="100">
        <v>0.36</v>
      </c>
      <c r="F76" s="100">
        <v>1.45</v>
      </c>
      <c r="G76" s="100">
        <v>1.96</v>
      </c>
      <c r="H76" s="100">
        <v>1.64</v>
      </c>
      <c r="I76" s="100">
        <v>0.98</v>
      </c>
      <c r="J76" s="100">
        <v>2.2</v>
      </c>
      <c r="K76" s="100">
        <v>0.18</v>
      </c>
      <c r="L76" s="100">
        <v>0.91</v>
      </c>
      <c r="M76" s="100">
        <v>0.36</v>
      </c>
      <c r="N76" s="100">
        <v>1.45</v>
      </c>
      <c r="O76" s="100">
        <v>1.96</v>
      </c>
      <c r="P76" s="100">
        <v>1.64</v>
      </c>
      <c r="Q76" s="100">
        <v>0.98</v>
      </c>
      <c r="R76" s="100">
        <v>2.2</v>
      </c>
    </row>
    <row r="77" ht="16" spans="1:18">
      <c r="A77" s="100">
        <v>6.5</v>
      </c>
      <c r="B77" s="100" t="s">
        <v>90</v>
      </c>
      <c r="C77" s="100">
        <v>0.18</v>
      </c>
      <c r="D77" s="100">
        <v>0.91</v>
      </c>
      <c r="E77" s="100">
        <v>0.36</v>
      </c>
      <c r="F77" s="100">
        <v>1.45</v>
      </c>
      <c r="G77" s="100">
        <v>1.96</v>
      </c>
      <c r="H77" s="100">
        <v>1.64</v>
      </c>
      <c r="I77" s="100">
        <v>0.98</v>
      </c>
      <c r="J77" s="100">
        <v>2.2</v>
      </c>
      <c r="K77" s="100">
        <v>0.18</v>
      </c>
      <c r="L77" s="100">
        <v>0.91</v>
      </c>
      <c r="M77" s="100">
        <v>0.36</v>
      </c>
      <c r="N77" s="100">
        <v>1.45</v>
      </c>
      <c r="O77" s="100">
        <v>1.96</v>
      </c>
      <c r="P77" s="100">
        <v>1.64</v>
      </c>
      <c r="Q77" s="100">
        <v>0.98</v>
      </c>
      <c r="R77" s="100">
        <v>2.2</v>
      </c>
    </row>
    <row r="78" ht="16" spans="1:18">
      <c r="A78" s="100">
        <v>7</v>
      </c>
      <c r="B78" s="101" t="s">
        <v>91</v>
      </c>
      <c r="C78" s="101">
        <v>0.25</v>
      </c>
      <c r="D78" s="101">
        <v>1.15</v>
      </c>
      <c r="E78" s="101">
        <v>0.45</v>
      </c>
      <c r="F78" s="101">
        <v>1.85</v>
      </c>
      <c r="G78" s="101">
        <v>1.96</v>
      </c>
      <c r="H78" s="101">
        <v>1.64</v>
      </c>
      <c r="I78" s="101">
        <v>0.98</v>
      </c>
      <c r="J78" s="101">
        <v>2.8</v>
      </c>
      <c r="K78" s="101">
        <v>0.25</v>
      </c>
      <c r="L78" s="101">
        <v>1.15</v>
      </c>
      <c r="M78" s="101">
        <v>0.45</v>
      </c>
      <c r="N78" s="101">
        <v>1.85</v>
      </c>
      <c r="O78" s="101">
        <v>1.96</v>
      </c>
      <c r="P78" s="101">
        <v>1.64</v>
      </c>
      <c r="Q78" s="101">
        <v>0.98</v>
      </c>
      <c r="R78" s="101">
        <v>2.8</v>
      </c>
    </row>
    <row r="79" ht="16" spans="1:18">
      <c r="A79" s="100">
        <v>7.1</v>
      </c>
      <c r="B79" s="100" t="s">
        <v>92</v>
      </c>
      <c r="C79" s="100">
        <v>0.05</v>
      </c>
      <c r="D79" s="100">
        <v>0.23</v>
      </c>
      <c r="E79" s="100">
        <v>0.09</v>
      </c>
      <c r="F79" s="100">
        <v>0.37</v>
      </c>
      <c r="G79" s="100">
        <v>1.96</v>
      </c>
      <c r="H79" s="100">
        <v>1.64</v>
      </c>
      <c r="I79" s="100">
        <v>0.98</v>
      </c>
      <c r="J79" s="100">
        <v>0.56</v>
      </c>
      <c r="K79" s="100">
        <v>0.05</v>
      </c>
      <c r="L79" s="100">
        <v>0.23</v>
      </c>
      <c r="M79" s="100">
        <v>0.09</v>
      </c>
      <c r="N79" s="100">
        <v>0.37</v>
      </c>
      <c r="O79" s="100">
        <v>1.96</v>
      </c>
      <c r="P79" s="100">
        <v>1.64</v>
      </c>
      <c r="Q79" s="100">
        <v>0.98</v>
      </c>
      <c r="R79" s="100">
        <v>0.56</v>
      </c>
    </row>
    <row r="80" ht="16" spans="1:18">
      <c r="A80" s="100">
        <v>7.2</v>
      </c>
      <c r="B80" s="100" t="s">
        <v>93</v>
      </c>
      <c r="C80" s="100">
        <v>0.05</v>
      </c>
      <c r="D80" s="100">
        <v>0.23</v>
      </c>
      <c r="E80" s="100">
        <v>0.09</v>
      </c>
      <c r="F80" s="100">
        <v>0.37</v>
      </c>
      <c r="G80" s="100">
        <v>1.96</v>
      </c>
      <c r="H80" s="100">
        <v>1.64</v>
      </c>
      <c r="I80" s="100">
        <v>0.98</v>
      </c>
      <c r="J80" s="100">
        <v>0.56</v>
      </c>
      <c r="K80" s="100">
        <v>0.05</v>
      </c>
      <c r="L80" s="100">
        <v>0.23</v>
      </c>
      <c r="M80" s="100">
        <v>0.09</v>
      </c>
      <c r="N80" s="100">
        <v>0.37</v>
      </c>
      <c r="O80" s="100">
        <v>1.96</v>
      </c>
      <c r="P80" s="100">
        <v>1.64</v>
      </c>
      <c r="Q80" s="100">
        <v>0.98</v>
      </c>
      <c r="R80" s="100">
        <v>0.56</v>
      </c>
    </row>
    <row r="81" ht="16" spans="1:18">
      <c r="A81" s="100">
        <v>7.3</v>
      </c>
      <c r="B81" s="100" t="s">
        <v>94</v>
      </c>
      <c r="C81" s="100">
        <v>0.05</v>
      </c>
      <c r="D81" s="100">
        <v>0.23</v>
      </c>
      <c r="E81" s="100">
        <v>0.09</v>
      </c>
      <c r="F81" s="100">
        <v>0.37</v>
      </c>
      <c r="G81" s="100">
        <v>1.96</v>
      </c>
      <c r="H81" s="100">
        <v>1.64</v>
      </c>
      <c r="I81" s="100">
        <v>0.98</v>
      </c>
      <c r="J81" s="100">
        <v>0.56</v>
      </c>
      <c r="K81" s="100">
        <v>0.05</v>
      </c>
      <c r="L81" s="100">
        <v>0.23</v>
      </c>
      <c r="M81" s="100">
        <v>0.09</v>
      </c>
      <c r="N81" s="100">
        <v>0.37</v>
      </c>
      <c r="O81" s="100">
        <v>1.96</v>
      </c>
      <c r="P81" s="100">
        <v>1.64</v>
      </c>
      <c r="Q81" s="100">
        <v>0.98</v>
      </c>
      <c r="R81" s="100">
        <v>0.56</v>
      </c>
    </row>
    <row r="82" ht="16" spans="1:18">
      <c r="A82" s="100">
        <v>7.4</v>
      </c>
      <c r="B82" s="100" t="s">
        <v>95</v>
      </c>
      <c r="C82" s="100">
        <v>0.05</v>
      </c>
      <c r="D82" s="100">
        <v>0.23</v>
      </c>
      <c r="E82" s="100">
        <v>0.09</v>
      </c>
      <c r="F82" s="100">
        <v>0.37</v>
      </c>
      <c r="G82" s="100">
        <v>1.96</v>
      </c>
      <c r="H82" s="100">
        <v>1.64</v>
      </c>
      <c r="I82" s="100">
        <v>0.98</v>
      </c>
      <c r="J82" s="100">
        <v>0.56</v>
      </c>
      <c r="K82" s="100">
        <v>0.05</v>
      </c>
      <c r="L82" s="100">
        <v>0.23</v>
      </c>
      <c r="M82" s="100">
        <v>0.09</v>
      </c>
      <c r="N82" s="100">
        <v>0.37</v>
      </c>
      <c r="O82" s="100">
        <v>1.96</v>
      </c>
      <c r="P82" s="100">
        <v>1.64</v>
      </c>
      <c r="Q82" s="100">
        <v>0.98</v>
      </c>
      <c r="R82" s="100">
        <v>0.56</v>
      </c>
    </row>
    <row r="83" ht="16" spans="1:18">
      <c r="A83" s="100">
        <v>7.5</v>
      </c>
      <c r="B83" s="100" t="s">
        <v>96</v>
      </c>
      <c r="C83" s="100">
        <v>0.05</v>
      </c>
      <c r="D83" s="100">
        <v>0.23</v>
      </c>
      <c r="E83" s="100">
        <v>0.09</v>
      </c>
      <c r="F83" s="100">
        <v>0.37</v>
      </c>
      <c r="G83" s="100">
        <v>1.96</v>
      </c>
      <c r="H83" s="100">
        <v>1.64</v>
      </c>
      <c r="I83" s="100">
        <v>0.98</v>
      </c>
      <c r="J83" s="100">
        <v>0.56</v>
      </c>
      <c r="K83" s="100">
        <v>0.05</v>
      </c>
      <c r="L83" s="100">
        <v>0.23</v>
      </c>
      <c r="M83" s="100">
        <v>0.09</v>
      </c>
      <c r="N83" s="100">
        <v>0.37</v>
      </c>
      <c r="O83" s="100">
        <v>1.96</v>
      </c>
      <c r="P83" s="100">
        <v>1.64</v>
      </c>
      <c r="Q83" s="100">
        <v>0.98</v>
      </c>
      <c r="R83" s="100">
        <v>0.56</v>
      </c>
    </row>
    <row r="84" ht="31" spans="1:18">
      <c r="A84" s="100" t="s">
        <v>97</v>
      </c>
      <c r="B84" s="101" t="s">
        <v>98</v>
      </c>
      <c r="C84" s="101">
        <v>7.61</v>
      </c>
      <c r="D84" s="101">
        <v>37.48</v>
      </c>
      <c r="E84" s="101">
        <v>14.89</v>
      </c>
      <c r="F84" s="101">
        <v>59.98</v>
      </c>
      <c r="G84" s="101">
        <v>1.96</v>
      </c>
      <c r="H84" s="101">
        <v>1.64</v>
      </c>
      <c r="I84" s="101">
        <v>0.98</v>
      </c>
      <c r="J84" s="101">
        <v>90.86</v>
      </c>
      <c r="K84" s="101">
        <v>7.61</v>
      </c>
      <c r="L84" s="101">
        <v>37.48</v>
      </c>
      <c r="M84" s="101">
        <v>14.89</v>
      </c>
      <c r="N84" s="101">
        <v>59.98</v>
      </c>
      <c r="O84" s="101">
        <v>1.96</v>
      </c>
      <c r="P84" s="101">
        <v>1.64</v>
      </c>
      <c r="Q84" s="101">
        <v>0.98</v>
      </c>
      <c r="R84" s="101">
        <v>90.86</v>
      </c>
    </row>
    <row r="85" ht="31" spans="1:18">
      <c r="A85" s="100">
        <v>1</v>
      </c>
      <c r="B85" s="101" t="s">
        <v>99</v>
      </c>
      <c r="C85" s="101">
        <v>2.85</v>
      </c>
      <c r="D85" s="101">
        <v>14.07</v>
      </c>
      <c r="E85" s="101">
        <v>5.6</v>
      </c>
      <c r="F85" s="101">
        <v>22.52</v>
      </c>
      <c r="G85" s="101">
        <v>1.96</v>
      </c>
      <c r="H85" s="101">
        <v>1.64</v>
      </c>
      <c r="I85" s="101">
        <v>0.98</v>
      </c>
      <c r="J85" s="101">
        <v>34.11</v>
      </c>
      <c r="K85" s="101">
        <v>2.85</v>
      </c>
      <c r="L85" s="101">
        <v>14.07</v>
      </c>
      <c r="M85" s="101">
        <v>5.6</v>
      </c>
      <c r="N85" s="101">
        <v>22.52</v>
      </c>
      <c r="O85" s="101">
        <v>1.96</v>
      </c>
      <c r="P85" s="101">
        <v>1.64</v>
      </c>
      <c r="Q85" s="101">
        <v>0.98</v>
      </c>
      <c r="R85" s="101">
        <v>34.11</v>
      </c>
    </row>
    <row r="86" ht="16" spans="1:18">
      <c r="A86" s="100">
        <v>1.1</v>
      </c>
      <c r="B86" s="100" t="s">
        <v>37</v>
      </c>
      <c r="C86" s="100">
        <v>0.23</v>
      </c>
      <c r="D86" s="100">
        <v>1.14</v>
      </c>
      <c r="E86" s="100">
        <v>0.45</v>
      </c>
      <c r="F86" s="100">
        <v>1.82</v>
      </c>
      <c r="G86" s="100">
        <v>1.96</v>
      </c>
      <c r="H86" s="100">
        <v>1.64</v>
      </c>
      <c r="I86" s="100">
        <v>0.98</v>
      </c>
      <c r="J86" s="100">
        <v>2.76</v>
      </c>
      <c r="K86" s="100">
        <v>0.23</v>
      </c>
      <c r="L86" s="100">
        <v>1.14</v>
      </c>
      <c r="M86" s="100">
        <v>0.45</v>
      </c>
      <c r="N86" s="100">
        <v>1.82</v>
      </c>
      <c r="O86" s="100">
        <v>1.96</v>
      </c>
      <c r="P86" s="100">
        <v>1.64</v>
      </c>
      <c r="Q86" s="100">
        <v>0.98</v>
      </c>
      <c r="R86" s="100">
        <v>2.76</v>
      </c>
    </row>
    <row r="87" ht="16" spans="1:18">
      <c r="A87" s="100">
        <v>1.2</v>
      </c>
      <c r="B87" s="100" t="s">
        <v>100</v>
      </c>
      <c r="C87" s="100">
        <v>0.09</v>
      </c>
      <c r="D87" s="100">
        <v>0.45</v>
      </c>
      <c r="E87" s="100">
        <v>0.18</v>
      </c>
      <c r="F87" s="100">
        <v>0.72</v>
      </c>
      <c r="G87" s="100">
        <v>1.96</v>
      </c>
      <c r="H87" s="100">
        <v>1.64</v>
      </c>
      <c r="I87" s="100">
        <v>0.98</v>
      </c>
      <c r="J87" s="100">
        <v>1.09</v>
      </c>
      <c r="K87" s="100">
        <v>0.09</v>
      </c>
      <c r="L87" s="100">
        <v>0.45</v>
      </c>
      <c r="M87" s="100">
        <v>0.18</v>
      </c>
      <c r="N87" s="100">
        <v>0.72</v>
      </c>
      <c r="O87" s="100">
        <v>1.96</v>
      </c>
      <c r="P87" s="100">
        <v>1.64</v>
      </c>
      <c r="Q87" s="100">
        <v>0.98</v>
      </c>
      <c r="R87" s="100">
        <v>1.09</v>
      </c>
    </row>
    <row r="88" ht="16" spans="1:18">
      <c r="A88" s="100">
        <v>1.3</v>
      </c>
      <c r="B88" s="100" t="s">
        <v>101</v>
      </c>
      <c r="C88" s="100">
        <v>0.09</v>
      </c>
      <c r="D88" s="100">
        <v>0.45</v>
      </c>
      <c r="E88" s="100">
        <v>0.18</v>
      </c>
      <c r="F88" s="100">
        <v>0.72</v>
      </c>
      <c r="G88" s="100">
        <v>1.96</v>
      </c>
      <c r="H88" s="100">
        <v>1.64</v>
      </c>
      <c r="I88" s="100">
        <v>0.98</v>
      </c>
      <c r="J88" s="100">
        <v>1.09</v>
      </c>
      <c r="K88" s="100">
        <v>0.09</v>
      </c>
      <c r="L88" s="100">
        <v>0.45</v>
      </c>
      <c r="M88" s="100">
        <v>0.18</v>
      </c>
      <c r="N88" s="100">
        <v>0.72</v>
      </c>
      <c r="O88" s="100">
        <v>1.96</v>
      </c>
      <c r="P88" s="100">
        <v>1.64</v>
      </c>
      <c r="Q88" s="100">
        <v>0.98</v>
      </c>
      <c r="R88" s="100">
        <v>1.09</v>
      </c>
    </row>
    <row r="89" ht="16" spans="1:18">
      <c r="A89" s="100">
        <v>1.4</v>
      </c>
      <c r="B89" s="100" t="s">
        <v>102</v>
      </c>
      <c r="C89" s="100">
        <v>0.14</v>
      </c>
      <c r="D89" s="100">
        <v>0.68</v>
      </c>
      <c r="E89" s="100">
        <v>0.27</v>
      </c>
      <c r="F89" s="100">
        <v>1.09</v>
      </c>
      <c r="G89" s="100">
        <v>1.96</v>
      </c>
      <c r="H89" s="100">
        <v>1.64</v>
      </c>
      <c r="I89" s="100">
        <v>0.98</v>
      </c>
      <c r="J89" s="100">
        <v>1.65</v>
      </c>
      <c r="K89" s="100">
        <v>0.14</v>
      </c>
      <c r="L89" s="100">
        <v>0.68</v>
      </c>
      <c r="M89" s="100">
        <v>0.27</v>
      </c>
      <c r="N89" s="100">
        <v>1.09</v>
      </c>
      <c r="O89" s="100">
        <v>1.96</v>
      </c>
      <c r="P89" s="100">
        <v>1.64</v>
      </c>
      <c r="Q89" s="100">
        <v>0.98</v>
      </c>
      <c r="R89" s="100">
        <v>1.65</v>
      </c>
    </row>
    <row r="90" ht="16" spans="1:18">
      <c r="A90" s="100">
        <v>1.5</v>
      </c>
      <c r="B90" s="100" t="s">
        <v>103</v>
      </c>
      <c r="C90" s="100">
        <v>0.09</v>
      </c>
      <c r="D90" s="100">
        <v>0.45</v>
      </c>
      <c r="E90" s="100">
        <v>0.18</v>
      </c>
      <c r="F90" s="100">
        <v>0.72</v>
      </c>
      <c r="G90" s="100">
        <v>1.96</v>
      </c>
      <c r="H90" s="100">
        <v>1.64</v>
      </c>
      <c r="I90" s="100">
        <v>0.98</v>
      </c>
      <c r="J90" s="100">
        <v>1.09</v>
      </c>
      <c r="K90" s="100">
        <v>0.09</v>
      </c>
      <c r="L90" s="100">
        <v>0.45</v>
      </c>
      <c r="M90" s="100">
        <v>0.18</v>
      </c>
      <c r="N90" s="100">
        <v>0.72</v>
      </c>
      <c r="O90" s="100">
        <v>1.96</v>
      </c>
      <c r="P90" s="100">
        <v>1.64</v>
      </c>
      <c r="Q90" s="100">
        <v>0.98</v>
      </c>
      <c r="R90" s="100">
        <v>1.09</v>
      </c>
    </row>
    <row r="91" ht="16" spans="1:18">
      <c r="A91" s="100">
        <v>1.6</v>
      </c>
      <c r="B91" s="100" t="s">
        <v>104</v>
      </c>
      <c r="C91" s="100">
        <v>0.23</v>
      </c>
      <c r="D91" s="100">
        <v>1.14</v>
      </c>
      <c r="E91" s="100">
        <v>0.45</v>
      </c>
      <c r="F91" s="100">
        <v>1.82</v>
      </c>
      <c r="G91" s="100">
        <v>1.96</v>
      </c>
      <c r="H91" s="100">
        <v>1.64</v>
      </c>
      <c r="I91" s="100">
        <v>0.98</v>
      </c>
      <c r="J91" s="100">
        <v>2.76</v>
      </c>
      <c r="K91" s="100">
        <v>0.23</v>
      </c>
      <c r="L91" s="100">
        <v>1.14</v>
      </c>
      <c r="M91" s="100">
        <v>0.45</v>
      </c>
      <c r="N91" s="100">
        <v>1.82</v>
      </c>
      <c r="O91" s="100">
        <v>1.96</v>
      </c>
      <c r="P91" s="100">
        <v>1.64</v>
      </c>
      <c r="Q91" s="100">
        <v>0.98</v>
      </c>
      <c r="R91" s="100">
        <v>2.76</v>
      </c>
    </row>
    <row r="92" ht="16" spans="1:18">
      <c r="A92" s="100">
        <v>1.7</v>
      </c>
      <c r="B92" s="100" t="s">
        <v>105</v>
      </c>
      <c r="C92" s="100">
        <v>0.36</v>
      </c>
      <c r="D92" s="100">
        <v>1.82</v>
      </c>
      <c r="E92" s="100">
        <v>0.73</v>
      </c>
      <c r="F92" s="100">
        <v>2.91</v>
      </c>
      <c r="G92" s="100">
        <v>1.96</v>
      </c>
      <c r="H92" s="100">
        <v>1.64</v>
      </c>
      <c r="I92" s="100">
        <v>0.98</v>
      </c>
      <c r="J92" s="100">
        <v>4.41</v>
      </c>
      <c r="K92" s="100">
        <v>0.36</v>
      </c>
      <c r="L92" s="100">
        <v>1.82</v>
      </c>
      <c r="M92" s="100">
        <v>0.73</v>
      </c>
      <c r="N92" s="100">
        <v>2.91</v>
      </c>
      <c r="O92" s="100">
        <v>1.96</v>
      </c>
      <c r="P92" s="100">
        <v>1.64</v>
      </c>
      <c r="Q92" s="100">
        <v>0.98</v>
      </c>
      <c r="R92" s="100">
        <v>4.41</v>
      </c>
    </row>
    <row r="93" ht="16" spans="1:18">
      <c r="A93" s="100">
        <v>1.8</v>
      </c>
      <c r="B93" s="100" t="s">
        <v>106</v>
      </c>
      <c r="C93" s="100">
        <v>0.27</v>
      </c>
      <c r="D93" s="100">
        <v>1.36</v>
      </c>
      <c r="E93" s="100">
        <v>0.55</v>
      </c>
      <c r="F93" s="100">
        <v>2.18</v>
      </c>
      <c r="G93" s="100">
        <v>1.96</v>
      </c>
      <c r="H93" s="100">
        <v>1.64</v>
      </c>
      <c r="I93" s="100">
        <v>0.98</v>
      </c>
      <c r="J93" s="100">
        <v>3.3</v>
      </c>
      <c r="K93" s="100">
        <v>0.27</v>
      </c>
      <c r="L93" s="100">
        <v>1.36</v>
      </c>
      <c r="M93" s="100">
        <v>0.55</v>
      </c>
      <c r="N93" s="100">
        <v>2.18</v>
      </c>
      <c r="O93" s="100">
        <v>1.96</v>
      </c>
      <c r="P93" s="100">
        <v>1.64</v>
      </c>
      <c r="Q93" s="100">
        <v>0.98</v>
      </c>
      <c r="R93" s="100">
        <v>3.3</v>
      </c>
    </row>
    <row r="94" ht="16" spans="1:18">
      <c r="A94" s="100">
        <v>1.9</v>
      </c>
      <c r="B94" s="100" t="s">
        <v>107</v>
      </c>
      <c r="C94" s="100">
        <v>0.14</v>
      </c>
      <c r="D94" s="100">
        <v>0.68</v>
      </c>
      <c r="E94" s="100">
        <v>0.27</v>
      </c>
      <c r="F94" s="100">
        <v>1.09</v>
      </c>
      <c r="G94" s="100">
        <v>1.96</v>
      </c>
      <c r="H94" s="100">
        <v>1.64</v>
      </c>
      <c r="I94" s="100">
        <v>0.98</v>
      </c>
      <c r="J94" s="100">
        <v>1.65</v>
      </c>
      <c r="K94" s="100">
        <v>0.14</v>
      </c>
      <c r="L94" s="100">
        <v>0.68</v>
      </c>
      <c r="M94" s="100">
        <v>0.27</v>
      </c>
      <c r="N94" s="100">
        <v>1.09</v>
      </c>
      <c r="O94" s="100">
        <v>1.96</v>
      </c>
      <c r="P94" s="100">
        <v>1.64</v>
      </c>
      <c r="Q94" s="100">
        <v>0.98</v>
      </c>
      <c r="R94" s="100">
        <v>1.65</v>
      </c>
    </row>
    <row r="95" ht="15" customHeight="1" spans="1:18">
      <c r="A95" s="100">
        <v>1.1</v>
      </c>
      <c r="B95" s="100" t="s">
        <v>108</v>
      </c>
      <c r="C95" s="100">
        <v>0.05</v>
      </c>
      <c r="D95" s="100">
        <v>0.23</v>
      </c>
      <c r="E95" s="100">
        <v>0.09</v>
      </c>
      <c r="F95" s="100">
        <v>0.37</v>
      </c>
      <c r="G95" s="100">
        <v>1.96</v>
      </c>
      <c r="H95" s="100">
        <v>1.64</v>
      </c>
      <c r="I95" s="100">
        <v>0.98</v>
      </c>
      <c r="J95" s="100">
        <v>0.56</v>
      </c>
      <c r="K95" s="100">
        <v>0.05</v>
      </c>
      <c r="L95" s="100">
        <v>0.23</v>
      </c>
      <c r="M95" s="100">
        <v>0.09</v>
      </c>
      <c r="N95" s="100">
        <v>0.37</v>
      </c>
      <c r="O95" s="100">
        <v>1.96</v>
      </c>
      <c r="P95" s="100">
        <v>1.64</v>
      </c>
      <c r="Q95" s="100">
        <v>0.98</v>
      </c>
      <c r="R95" s="100">
        <v>0.56</v>
      </c>
    </row>
    <row r="96" ht="16" spans="1:18">
      <c r="A96" s="100">
        <v>1.11</v>
      </c>
      <c r="B96" s="100" t="s">
        <v>109</v>
      </c>
      <c r="C96" s="100">
        <v>0.18</v>
      </c>
      <c r="D96" s="100">
        <v>0.91</v>
      </c>
      <c r="E96" s="100">
        <v>0.36</v>
      </c>
      <c r="F96" s="100">
        <v>1.45</v>
      </c>
      <c r="G96" s="100">
        <v>1.96</v>
      </c>
      <c r="H96" s="100">
        <v>1.64</v>
      </c>
      <c r="I96" s="100">
        <v>0.98</v>
      </c>
      <c r="J96" s="100">
        <v>2.2</v>
      </c>
      <c r="K96" s="100">
        <v>0.18</v>
      </c>
      <c r="L96" s="100">
        <v>0.91</v>
      </c>
      <c r="M96" s="100">
        <v>0.36</v>
      </c>
      <c r="N96" s="100">
        <v>1.45</v>
      </c>
      <c r="O96" s="100">
        <v>1.96</v>
      </c>
      <c r="P96" s="100">
        <v>1.64</v>
      </c>
      <c r="Q96" s="100">
        <v>0.98</v>
      </c>
      <c r="R96" s="100">
        <v>2.2</v>
      </c>
    </row>
    <row r="97" ht="16" spans="1:18">
      <c r="A97" s="100">
        <v>1.12</v>
      </c>
      <c r="B97" s="100" t="s">
        <v>110</v>
      </c>
      <c r="C97" s="100">
        <v>0.05</v>
      </c>
      <c r="D97" s="100">
        <v>0.23</v>
      </c>
      <c r="E97" s="100">
        <v>0.09</v>
      </c>
      <c r="F97" s="100">
        <v>0.37</v>
      </c>
      <c r="G97" s="100">
        <v>1.96</v>
      </c>
      <c r="H97" s="100">
        <v>1.64</v>
      </c>
      <c r="I97" s="100">
        <v>0.98</v>
      </c>
      <c r="J97" s="100">
        <v>0.56</v>
      </c>
      <c r="K97" s="100">
        <v>0.05</v>
      </c>
      <c r="L97" s="100">
        <v>0.23</v>
      </c>
      <c r="M97" s="100">
        <v>0.09</v>
      </c>
      <c r="N97" s="100">
        <v>0.37</v>
      </c>
      <c r="O97" s="100">
        <v>1.96</v>
      </c>
      <c r="P97" s="100">
        <v>1.64</v>
      </c>
      <c r="Q97" s="100">
        <v>0.98</v>
      </c>
      <c r="R97" s="100">
        <v>0.56</v>
      </c>
    </row>
    <row r="98" ht="16" spans="1:18">
      <c r="A98" s="100">
        <v>1.13</v>
      </c>
      <c r="B98" s="100" t="s">
        <v>111</v>
      </c>
      <c r="C98" s="100">
        <v>0.05</v>
      </c>
      <c r="D98" s="100">
        <v>0.23</v>
      </c>
      <c r="E98" s="100">
        <v>0.09</v>
      </c>
      <c r="F98" s="100">
        <v>0.37</v>
      </c>
      <c r="G98" s="100">
        <v>1.96</v>
      </c>
      <c r="H98" s="100">
        <v>1.64</v>
      </c>
      <c r="I98" s="100">
        <v>0.98</v>
      </c>
      <c r="J98" s="100">
        <v>0.56</v>
      </c>
      <c r="K98" s="100">
        <v>0.05</v>
      </c>
      <c r="L98" s="100">
        <v>0.23</v>
      </c>
      <c r="M98" s="100">
        <v>0.09</v>
      </c>
      <c r="N98" s="100">
        <v>0.37</v>
      </c>
      <c r="O98" s="100">
        <v>1.96</v>
      </c>
      <c r="P98" s="100">
        <v>1.64</v>
      </c>
      <c r="Q98" s="100">
        <v>0.98</v>
      </c>
      <c r="R98" s="100">
        <v>0.56</v>
      </c>
    </row>
    <row r="99" ht="16" spans="1:18">
      <c r="A99" s="100">
        <v>1.14</v>
      </c>
      <c r="B99" s="100" t="s">
        <v>112</v>
      </c>
      <c r="C99" s="100">
        <v>0.05</v>
      </c>
      <c r="D99" s="100">
        <v>0.23</v>
      </c>
      <c r="E99" s="100">
        <v>0.09</v>
      </c>
      <c r="F99" s="100">
        <v>0.37</v>
      </c>
      <c r="G99" s="100">
        <v>1.96</v>
      </c>
      <c r="H99" s="100">
        <v>1.64</v>
      </c>
      <c r="I99" s="100">
        <v>0.98</v>
      </c>
      <c r="J99" s="100">
        <v>0.56</v>
      </c>
      <c r="K99" s="100">
        <v>0.05</v>
      </c>
      <c r="L99" s="100">
        <v>0.23</v>
      </c>
      <c r="M99" s="100">
        <v>0.09</v>
      </c>
      <c r="N99" s="100">
        <v>0.37</v>
      </c>
      <c r="O99" s="100">
        <v>1.96</v>
      </c>
      <c r="P99" s="100">
        <v>1.64</v>
      </c>
      <c r="Q99" s="100">
        <v>0.98</v>
      </c>
      <c r="R99" s="100">
        <v>0.56</v>
      </c>
    </row>
    <row r="100" ht="16" spans="1:18">
      <c r="A100" s="100">
        <v>1.15</v>
      </c>
      <c r="B100" s="100" t="s">
        <v>113</v>
      </c>
      <c r="C100" s="100">
        <v>0.05</v>
      </c>
      <c r="D100" s="100">
        <v>0.23</v>
      </c>
      <c r="E100" s="100">
        <v>0.09</v>
      </c>
      <c r="F100" s="100">
        <v>0.37</v>
      </c>
      <c r="G100" s="100">
        <v>1.96</v>
      </c>
      <c r="H100" s="100">
        <v>1.64</v>
      </c>
      <c r="I100" s="100">
        <v>0.98</v>
      </c>
      <c r="J100" s="100">
        <v>0.56</v>
      </c>
      <c r="K100" s="100">
        <v>0.05</v>
      </c>
      <c r="L100" s="100">
        <v>0.23</v>
      </c>
      <c r="M100" s="100">
        <v>0.09</v>
      </c>
      <c r="N100" s="100">
        <v>0.37</v>
      </c>
      <c r="O100" s="100">
        <v>1.96</v>
      </c>
      <c r="P100" s="100">
        <v>1.64</v>
      </c>
      <c r="Q100" s="100">
        <v>0.98</v>
      </c>
      <c r="R100" s="100">
        <v>0.56</v>
      </c>
    </row>
    <row r="101" ht="16" spans="1:18">
      <c r="A101" s="100">
        <v>1.16</v>
      </c>
      <c r="B101" s="100" t="s">
        <v>114</v>
      </c>
      <c r="C101" s="100">
        <v>0.09</v>
      </c>
      <c r="D101" s="100">
        <v>0.45</v>
      </c>
      <c r="E101" s="100">
        <v>0.18</v>
      </c>
      <c r="F101" s="100">
        <v>0.72</v>
      </c>
      <c r="G101" s="100">
        <v>1.96</v>
      </c>
      <c r="H101" s="100">
        <v>1.64</v>
      </c>
      <c r="I101" s="100">
        <v>0.98</v>
      </c>
      <c r="J101" s="100">
        <v>1.09</v>
      </c>
      <c r="K101" s="100">
        <v>0.09</v>
      </c>
      <c r="L101" s="100">
        <v>0.45</v>
      </c>
      <c r="M101" s="100">
        <v>0.18</v>
      </c>
      <c r="N101" s="100">
        <v>0.72</v>
      </c>
      <c r="O101" s="100">
        <v>1.96</v>
      </c>
      <c r="P101" s="100">
        <v>1.64</v>
      </c>
      <c r="Q101" s="100">
        <v>0.98</v>
      </c>
      <c r="R101" s="100">
        <v>1.09</v>
      </c>
    </row>
    <row r="102" ht="16" spans="1:18">
      <c r="A102" s="100">
        <v>1.17</v>
      </c>
      <c r="B102" s="100" t="s">
        <v>115</v>
      </c>
      <c r="C102" s="100">
        <v>0.09</v>
      </c>
      <c r="D102" s="100">
        <v>0.45</v>
      </c>
      <c r="E102" s="100">
        <v>0.18</v>
      </c>
      <c r="F102" s="100">
        <v>0.72</v>
      </c>
      <c r="G102" s="100">
        <v>1.96</v>
      </c>
      <c r="H102" s="100">
        <v>1.64</v>
      </c>
      <c r="I102" s="100">
        <v>0.98</v>
      </c>
      <c r="J102" s="100">
        <v>1.09</v>
      </c>
      <c r="K102" s="100">
        <v>0.09</v>
      </c>
      <c r="L102" s="100">
        <v>0.45</v>
      </c>
      <c r="M102" s="100">
        <v>0.18</v>
      </c>
      <c r="N102" s="100">
        <v>0.72</v>
      </c>
      <c r="O102" s="100">
        <v>1.96</v>
      </c>
      <c r="P102" s="100">
        <v>1.64</v>
      </c>
      <c r="Q102" s="100">
        <v>0.98</v>
      </c>
      <c r="R102" s="100">
        <v>1.09</v>
      </c>
    </row>
    <row r="103" ht="16" spans="1:18">
      <c r="A103" s="100">
        <v>1.18</v>
      </c>
      <c r="B103" s="100" t="s">
        <v>116</v>
      </c>
      <c r="C103" s="100">
        <v>0.09</v>
      </c>
      <c r="D103" s="100">
        <v>0.45</v>
      </c>
      <c r="E103" s="100">
        <v>0.18</v>
      </c>
      <c r="F103" s="100">
        <v>0.72</v>
      </c>
      <c r="G103" s="100">
        <v>1.96</v>
      </c>
      <c r="H103" s="100">
        <v>1.64</v>
      </c>
      <c r="I103" s="100">
        <v>0.98</v>
      </c>
      <c r="J103" s="100">
        <v>1.09</v>
      </c>
      <c r="K103" s="100">
        <v>0.09</v>
      </c>
      <c r="L103" s="100">
        <v>0.45</v>
      </c>
      <c r="M103" s="100">
        <v>0.18</v>
      </c>
      <c r="N103" s="100">
        <v>0.72</v>
      </c>
      <c r="O103" s="100">
        <v>1.96</v>
      </c>
      <c r="P103" s="100">
        <v>1.64</v>
      </c>
      <c r="Q103" s="100">
        <v>0.98</v>
      </c>
      <c r="R103" s="100">
        <v>1.09</v>
      </c>
    </row>
    <row r="104" ht="16" spans="1:18">
      <c r="A104" s="100">
        <v>1.19</v>
      </c>
      <c r="B104" s="100" t="s">
        <v>117</v>
      </c>
      <c r="C104" s="100">
        <v>0.09</v>
      </c>
      <c r="D104" s="100">
        <v>0.45</v>
      </c>
      <c r="E104" s="100">
        <v>0.18</v>
      </c>
      <c r="F104" s="100">
        <v>0.72</v>
      </c>
      <c r="G104" s="100">
        <v>1.96</v>
      </c>
      <c r="H104" s="100">
        <v>1.64</v>
      </c>
      <c r="I104" s="100">
        <v>0.98</v>
      </c>
      <c r="J104" s="100">
        <v>1.09</v>
      </c>
      <c r="K104" s="100">
        <v>0.09</v>
      </c>
      <c r="L104" s="100">
        <v>0.45</v>
      </c>
      <c r="M104" s="100">
        <v>0.18</v>
      </c>
      <c r="N104" s="100">
        <v>0.72</v>
      </c>
      <c r="O104" s="100">
        <v>1.96</v>
      </c>
      <c r="P104" s="100">
        <v>1.64</v>
      </c>
      <c r="Q104" s="100">
        <v>0.98</v>
      </c>
      <c r="R104" s="100">
        <v>1.09</v>
      </c>
    </row>
    <row r="105" ht="16" spans="1:18">
      <c r="A105" s="100">
        <v>1.2</v>
      </c>
      <c r="B105" s="100" t="s">
        <v>118</v>
      </c>
      <c r="C105" s="100">
        <v>0.09</v>
      </c>
      <c r="D105" s="100">
        <v>0.45</v>
      </c>
      <c r="E105" s="100">
        <v>0.18</v>
      </c>
      <c r="F105" s="100">
        <v>0.72</v>
      </c>
      <c r="G105" s="100">
        <v>1.96</v>
      </c>
      <c r="H105" s="100">
        <v>1.64</v>
      </c>
      <c r="I105" s="100">
        <v>0.98</v>
      </c>
      <c r="J105" s="100">
        <v>1.09</v>
      </c>
      <c r="K105" s="100">
        <v>0.09</v>
      </c>
      <c r="L105" s="100">
        <v>0.45</v>
      </c>
      <c r="M105" s="100">
        <v>0.18</v>
      </c>
      <c r="N105" s="100">
        <v>0.72</v>
      </c>
      <c r="O105" s="100">
        <v>1.96</v>
      </c>
      <c r="P105" s="100">
        <v>1.64</v>
      </c>
      <c r="Q105" s="100">
        <v>0.98</v>
      </c>
      <c r="R105" s="100">
        <v>1.09</v>
      </c>
    </row>
    <row r="106" ht="16" spans="1:18">
      <c r="A106" s="100">
        <v>1.21</v>
      </c>
      <c r="B106" s="100" t="s">
        <v>119</v>
      </c>
      <c r="C106" s="100">
        <v>0.09</v>
      </c>
      <c r="D106" s="100">
        <v>0.45</v>
      </c>
      <c r="E106" s="100">
        <v>0.18</v>
      </c>
      <c r="F106" s="100">
        <v>0.72</v>
      </c>
      <c r="G106" s="100">
        <v>1.96</v>
      </c>
      <c r="H106" s="100">
        <v>1.64</v>
      </c>
      <c r="I106" s="100">
        <v>0.98</v>
      </c>
      <c r="J106" s="100">
        <v>1.09</v>
      </c>
      <c r="K106" s="100">
        <v>0.09</v>
      </c>
      <c r="L106" s="100">
        <v>0.45</v>
      </c>
      <c r="M106" s="100">
        <v>0.18</v>
      </c>
      <c r="N106" s="100">
        <v>0.72</v>
      </c>
      <c r="O106" s="100">
        <v>1.96</v>
      </c>
      <c r="P106" s="100">
        <v>1.64</v>
      </c>
      <c r="Q106" s="100">
        <v>0.98</v>
      </c>
      <c r="R106" s="100">
        <v>1.09</v>
      </c>
    </row>
    <row r="107" ht="16" spans="1:18">
      <c r="A107" s="100">
        <v>1.22</v>
      </c>
      <c r="B107" s="100" t="s">
        <v>120</v>
      </c>
      <c r="C107" s="100">
        <v>0.05</v>
      </c>
      <c r="D107" s="100">
        <v>0.23</v>
      </c>
      <c r="E107" s="100">
        <v>0.09</v>
      </c>
      <c r="F107" s="100">
        <v>0.37</v>
      </c>
      <c r="G107" s="100">
        <v>1.96</v>
      </c>
      <c r="H107" s="100">
        <v>1.64</v>
      </c>
      <c r="I107" s="100">
        <v>0.98</v>
      </c>
      <c r="J107" s="100">
        <v>0.56</v>
      </c>
      <c r="K107" s="100">
        <v>0.05</v>
      </c>
      <c r="L107" s="100">
        <v>0.23</v>
      </c>
      <c r="M107" s="100">
        <v>0.09</v>
      </c>
      <c r="N107" s="100">
        <v>0.37</v>
      </c>
      <c r="O107" s="100">
        <v>1.96</v>
      </c>
      <c r="P107" s="100">
        <v>1.64</v>
      </c>
      <c r="Q107" s="100">
        <v>0.98</v>
      </c>
      <c r="R107" s="100">
        <v>0.56</v>
      </c>
    </row>
    <row r="108" ht="16" spans="1:18">
      <c r="A108" s="100">
        <v>1.23</v>
      </c>
      <c r="B108" s="100" t="s">
        <v>121</v>
      </c>
      <c r="C108" s="100">
        <v>0.05</v>
      </c>
      <c r="D108" s="100">
        <v>0.23</v>
      </c>
      <c r="E108" s="100">
        <v>0.09</v>
      </c>
      <c r="F108" s="100">
        <v>0.37</v>
      </c>
      <c r="G108" s="100">
        <v>1.96</v>
      </c>
      <c r="H108" s="100">
        <v>1.64</v>
      </c>
      <c r="I108" s="100">
        <v>0.98</v>
      </c>
      <c r="J108" s="100">
        <v>0.56</v>
      </c>
      <c r="K108" s="100">
        <v>0.05</v>
      </c>
      <c r="L108" s="100">
        <v>0.23</v>
      </c>
      <c r="M108" s="100">
        <v>0.09</v>
      </c>
      <c r="N108" s="100">
        <v>0.37</v>
      </c>
      <c r="O108" s="100">
        <v>1.96</v>
      </c>
      <c r="P108" s="100">
        <v>1.64</v>
      </c>
      <c r="Q108" s="100">
        <v>0.98</v>
      </c>
      <c r="R108" s="100">
        <v>0.56</v>
      </c>
    </row>
    <row r="109" ht="16" spans="1:18">
      <c r="A109" s="100">
        <v>1.24</v>
      </c>
      <c r="B109" s="100" t="s">
        <v>122</v>
      </c>
      <c r="C109" s="100">
        <v>0.05</v>
      </c>
      <c r="D109" s="100">
        <v>0.23</v>
      </c>
      <c r="E109" s="100">
        <v>0.09</v>
      </c>
      <c r="F109" s="100">
        <v>0.37</v>
      </c>
      <c r="G109" s="100">
        <v>1.96</v>
      </c>
      <c r="H109" s="100">
        <v>1.64</v>
      </c>
      <c r="I109" s="100">
        <v>0.98</v>
      </c>
      <c r="J109" s="100">
        <v>0.56</v>
      </c>
      <c r="K109" s="100">
        <v>0.05</v>
      </c>
      <c r="L109" s="100">
        <v>0.23</v>
      </c>
      <c r="M109" s="100">
        <v>0.09</v>
      </c>
      <c r="N109" s="100">
        <v>0.37</v>
      </c>
      <c r="O109" s="100">
        <v>1.96</v>
      </c>
      <c r="P109" s="100">
        <v>1.64</v>
      </c>
      <c r="Q109" s="100">
        <v>0.98</v>
      </c>
      <c r="R109" s="100">
        <v>0.56</v>
      </c>
    </row>
    <row r="110" ht="16" spans="1:18">
      <c r="A110" s="100">
        <v>1.25</v>
      </c>
      <c r="B110" s="100" t="s">
        <v>123</v>
      </c>
      <c r="C110" s="100">
        <v>0.09</v>
      </c>
      <c r="D110" s="100">
        <v>0.45</v>
      </c>
      <c r="E110" s="100">
        <v>0.18</v>
      </c>
      <c r="F110" s="100">
        <v>0.72</v>
      </c>
      <c r="G110" s="100">
        <v>1.96</v>
      </c>
      <c r="H110" s="100">
        <v>1.64</v>
      </c>
      <c r="I110" s="100">
        <v>0.98</v>
      </c>
      <c r="J110" s="100">
        <v>1.09</v>
      </c>
      <c r="K110" s="100">
        <v>0.09</v>
      </c>
      <c r="L110" s="100">
        <v>0.45</v>
      </c>
      <c r="M110" s="100">
        <v>0.18</v>
      </c>
      <c r="N110" s="100">
        <v>0.72</v>
      </c>
      <c r="O110" s="100">
        <v>1.96</v>
      </c>
      <c r="P110" s="100">
        <v>1.64</v>
      </c>
      <c r="Q110" s="100">
        <v>0.98</v>
      </c>
      <c r="R110" s="100">
        <v>1.09</v>
      </c>
    </row>
    <row r="111" ht="31" spans="1:18">
      <c r="A111" s="100">
        <v>2</v>
      </c>
      <c r="B111" s="101" t="s">
        <v>124</v>
      </c>
      <c r="C111" s="101">
        <v>1.56</v>
      </c>
      <c r="D111" s="101">
        <v>7.73</v>
      </c>
      <c r="E111" s="101">
        <v>3.08</v>
      </c>
      <c r="F111" s="101">
        <v>12.37</v>
      </c>
      <c r="G111" s="101">
        <v>1.96</v>
      </c>
      <c r="H111" s="101">
        <v>1.64</v>
      </c>
      <c r="I111" s="101">
        <v>0.98</v>
      </c>
      <c r="J111" s="101">
        <v>18.74</v>
      </c>
      <c r="K111" s="101">
        <v>1.56</v>
      </c>
      <c r="L111" s="101">
        <v>7.73</v>
      </c>
      <c r="M111" s="101">
        <v>3.08</v>
      </c>
      <c r="N111" s="101">
        <v>12.37</v>
      </c>
      <c r="O111" s="101">
        <v>1.96</v>
      </c>
      <c r="P111" s="101">
        <v>1.64</v>
      </c>
      <c r="Q111" s="101">
        <v>0.98</v>
      </c>
      <c r="R111" s="101">
        <v>18.74</v>
      </c>
    </row>
    <row r="112" ht="16" spans="1:18">
      <c r="A112" s="100">
        <v>2.1</v>
      </c>
      <c r="B112" s="100" t="s">
        <v>125</v>
      </c>
      <c r="C112" s="100">
        <v>0.45</v>
      </c>
      <c r="D112" s="100">
        <v>2.27</v>
      </c>
      <c r="E112" s="100">
        <v>0.91</v>
      </c>
      <c r="F112" s="100">
        <v>3.63</v>
      </c>
      <c r="G112" s="100">
        <v>1.96</v>
      </c>
      <c r="H112" s="100">
        <v>1.64</v>
      </c>
      <c r="I112" s="100">
        <v>0.98</v>
      </c>
      <c r="J112" s="100">
        <v>5.5</v>
      </c>
      <c r="K112" s="100">
        <v>0.45</v>
      </c>
      <c r="L112" s="100">
        <v>2.27</v>
      </c>
      <c r="M112" s="100">
        <v>0.91</v>
      </c>
      <c r="N112" s="100">
        <v>3.63</v>
      </c>
      <c r="O112" s="100">
        <v>1.96</v>
      </c>
      <c r="P112" s="100">
        <v>1.64</v>
      </c>
      <c r="Q112" s="100">
        <v>0.98</v>
      </c>
      <c r="R112" s="100">
        <v>5.5</v>
      </c>
    </row>
    <row r="113" ht="16" spans="1:18">
      <c r="A113" s="100">
        <v>2.2</v>
      </c>
      <c r="B113" s="100" t="s">
        <v>126</v>
      </c>
      <c r="C113" s="100">
        <v>0.23</v>
      </c>
      <c r="D113" s="100">
        <v>1.14</v>
      </c>
      <c r="E113" s="100">
        <v>0.45</v>
      </c>
      <c r="F113" s="100">
        <v>1.82</v>
      </c>
      <c r="G113" s="100">
        <v>1.96</v>
      </c>
      <c r="H113" s="100">
        <v>1.64</v>
      </c>
      <c r="I113" s="100">
        <v>0.98</v>
      </c>
      <c r="J113" s="100">
        <v>2.76</v>
      </c>
      <c r="K113" s="100">
        <v>0.23</v>
      </c>
      <c r="L113" s="100">
        <v>1.14</v>
      </c>
      <c r="M113" s="100">
        <v>0.45</v>
      </c>
      <c r="N113" s="100">
        <v>1.82</v>
      </c>
      <c r="O113" s="100">
        <v>1.96</v>
      </c>
      <c r="P113" s="100">
        <v>1.64</v>
      </c>
      <c r="Q113" s="100">
        <v>0.98</v>
      </c>
      <c r="R113" s="100">
        <v>2.76</v>
      </c>
    </row>
    <row r="114" ht="16" spans="1:18">
      <c r="A114" s="100">
        <v>2.3</v>
      </c>
      <c r="B114" s="100" t="s">
        <v>109</v>
      </c>
      <c r="C114" s="100">
        <v>0.36</v>
      </c>
      <c r="D114" s="100">
        <v>1.82</v>
      </c>
      <c r="E114" s="100">
        <v>0.73</v>
      </c>
      <c r="F114" s="100">
        <v>2.91</v>
      </c>
      <c r="G114" s="100">
        <v>1.96</v>
      </c>
      <c r="H114" s="100">
        <v>1.64</v>
      </c>
      <c r="I114" s="100">
        <v>0.98</v>
      </c>
      <c r="J114" s="100">
        <v>4.41</v>
      </c>
      <c r="K114" s="100">
        <v>0.36</v>
      </c>
      <c r="L114" s="100">
        <v>1.82</v>
      </c>
      <c r="M114" s="100">
        <v>0.73</v>
      </c>
      <c r="N114" s="100">
        <v>2.91</v>
      </c>
      <c r="O114" s="100">
        <v>1.96</v>
      </c>
      <c r="P114" s="100">
        <v>1.64</v>
      </c>
      <c r="Q114" s="100">
        <v>0.98</v>
      </c>
      <c r="R114" s="100">
        <v>4.41</v>
      </c>
    </row>
    <row r="115" ht="16" spans="1:18">
      <c r="A115" s="100">
        <v>2.4</v>
      </c>
      <c r="B115" s="100" t="s">
        <v>110</v>
      </c>
      <c r="C115" s="100">
        <v>0.05</v>
      </c>
      <c r="D115" s="100">
        <v>0.23</v>
      </c>
      <c r="E115" s="100">
        <v>0.09</v>
      </c>
      <c r="F115" s="100">
        <v>0.37</v>
      </c>
      <c r="G115" s="100">
        <v>1.96</v>
      </c>
      <c r="H115" s="100">
        <v>1.64</v>
      </c>
      <c r="I115" s="100">
        <v>0.98</v>
      </c>
      <c r="J115" s="100">
        <v>0.56</v>
      </c>
      <c r="K115" s="100">
        <v>0.05</v>
      </c>
      <c r="L115" s="100">
        <v>0.23</v>
      </c>
      <c r="M115" s="100">
        <v>0.09</v>
      </c>
      <c r="N115" s="100">
        <v>0.37</v>
      </c>
      <c r="O115" s="100">
        <v>1.96</v>
      </c>
      <c r="P115" s="100">
        <v>1.64</v>
      </c>
      <c r="Q115" s="100">
        <v>0.98</v>
      </c>
      <c r="R115" s="100">
        <v>0.56</v>
      </c>
    </row>
    <row r="116" ht="16" spans="1:18">
      <c r="A116" s="100">
        <v>2.5</v>
      </c>
      <c r="B116" s="100" t="s">
        <v>111</v>
      </c>
      <c r="C116" s="100">
        <v>0.09</v>
      </c>
      <c r="D116" s="100">
        <v>0.45</v>
      </c>
      <c r="E116" s="100">
        <v>0.18</v>
      </c>
      <c r="F116" s="100">
        <v>0.72</v>
      </c>
      <c r="G116" s="100">
        <v>1.96</v>
      </c>
      <c r="H116" s="100">
        <v>1.64</v>
      </c>
      <c r="I116" s="100">
        <v>0.98</v>
      </c>
      <c r="J116" s="100">
        <v>1.09</v>
      </c>
      <c r="K116" s="100">
        <v>0.09</v>
      </c>
      <c r="L116" s="100">
        <v>0.45</v>
      </c>
      <c r="M116" s="100">
        <v>0.18</v>
      </c>
      <c r="N116" s="100">
        <v>0.72</v>
      </c>
      <c r="O116" s="100">
        <v>1.96</v>
      </c>
      <c r="P116" s="100">
        <v>1.64</v>
      </c>
      <c r="Q116" s="100">
        <v>0.98</v>
      </c>
      <c r="R116" s="100">
        <v>1.09</v>
      </c>
    </row>
    <row r="117" ht="16" spans="1:18">
      <c r="A117" s="100">
        <v>2.6</v>
      </c>
      <c r="B117" s="100" t="s">
        <v>114</v>
      </c>
      <c r="C117" s="100">
        <v>0.09</v>
      </c>
      <c r="D117" s="100">
        <v>0.45</v>
      </c>
      <c r="E117" s="100">
        <v>0.18</v>
      </c>
      <c r="F117" s="100">
        <v>0.72</v>
      </c>
      <c r="G117" s="100">
        <v>1.96</v>
      </c>
      <c r="H117" s="100">
        <v>1.64</v>
      </c>
      <c r="I117" s="100">
        <v>0.98</v>
      </c>
      <c r="J117" s="100">
        <v>1.09</v>
      </c>
      <c r="K117" s="100">
        <v>0.09</v>
      </c>
      <c r="L117" s="100">
        <v>0.45</v>
      </c>
      <c r="M117" s="100">
        <v>0.18</v>
      </c>
      <c r="N117" s="100">
        <v>0.72</v>
      </c>
      <c r="O117" s="100">
        <v>1.96</v>
      </c>
      <c r="P117" s="100">
        <v>1.64</v>
      </c>
      <c r="Q117" s="100">
        <v>0.98</v>
      </c>
      <c r="R117" s="100">
        <v>1.09</v>
      </c>
    </row>
    <row r="118" ht="16" spans="1:18">
      <c r="A118" s="100">
        <v>2.7</v>
      </c>
      <c r="B118" s="100" t="s">
        <v>115</v>
      </c>
      <c r="C118" s="100">
        <v>0.09</v>
      </c>
      <c r="D118" s="100">
        <v>0.45</v>
      </c>
      <c r="E118" s="100">
        <v>0.18</v>
      </c>
      <c r="F118" s="100">
        <v>0.72</v>
      </c>
      <c r="G118" s="100">
        <v>1.96</v>
      </c>
      <c r="H118" s="100">
        <v>1.64</v>
      </c>
      <c r="I118" s="100">
        <v>0.98</v>
      </c>
      <c r="J118" s="100">
        <v>1.09</v>
      </c>
      <c r="K118" s="100">
        <v>0.09</v>
      </c>
      <c r="L118" s="100">
        <v>0.45</v>
      </c>
      <c r="M118" s="100">
        <v>0.18</v>
      </c>
      <c r="N118" s="100">
        <v>0.72</v>
      </c>
      <c r="O118" s="100">
        <v>1.96</v>
      </c>
      <c r="P118" s="100">
        <v>1.64</v>
      </c>
      <c r="Q118" s="100">
        <v>0.98</v>
      </c>
      <c r="R118" s="100">
        <v>1.09</v>
      </c>
    </row>
    <row r="119" ht="16" spans="1:18">
      <c r="A119" s="100">
        <v>2.8</v>
      </c>
      <c r="B119" s="100" t="s">
        <v>116</v>
      </c>
      <c r="C119" s="100">
        <v>0.05</v>
      </c>
      <c r="D119" s="100">
        <v>0.23</v>
      </c>
      <c r="E119" s="100">
        <v>0.09</v>
      </c>
      <c r="F119" s="100">
        <v>0.37</v>
      </c>
      <c r="G119" s="100">
        <v>1.96</v>
      </c>
      <c r="H119" s="100">
        <v>1.64</v>
      </c>
      <c r="I119" s="100">
        <v>0.98</v>
      </c>
      <c r="J119" s="100">
        <v>0.56</v>
      </c>
      <c r="K119" s="100">
        <v>0.05</v>
      </c>
      <c r="L119" s="100">
        <v>0.23</v>
      </c>
      <c r="M119" s="100">
        <v>0.09</v>
      </c>
      <c r="N119" s="100">
        <v>0.37</v>
      </c>
      <c r="O119" s="100">
        <v>1.96</v>
      </c>
      <c r="P119" s="100">
        <v>1.64</v>
      </c>
      <c r="Q119" s="100">
        <v>0.98</v>
      </c>
      <c r="R119" s="100">
        <v>0.56</v>
      </c>
    </row>
    <row r="120" ht="16" spans="1:18">
      <c r="A120" s="100">
        <v>2.9</v>
      </c>
      <c r="B120" s="100" t="s">
        <v>117</v>
      </c>
      <c r="C120" s="100">
        <v>0.05</v>
      </c>
      <c r="D120" s="100">
        <v>0.23</v>
      </c>
      <c r="E120" s="100">
        <v>0.09</v>
      </c>
      <c r="F120" s="100">
        <v>0.37</v>
      </c>
      <c r="G120" s="100">
        <v>1.96</v>
      </c>
      <c r="H120" s="100">
        <v>1.64</v>
      </c>
      <c r="I120" s="100">
        <v>0.98</v>
      </c>
      <c r="J120" s="100">
        <v>0.56</v>
      </c>
      <c r="K120" s="100">
        <v>0.05</v>
      </c>
      <c r="L120" s="100">
        <v>0.23</v>
      </c>
      <c r="M120" s="100">
        <v>0.09</v>
      </c>
      <c r="N120" s="100">
        <v>0.37</v>
      </c>
      <c r="O120" s="100">
        <v>1.96</v>
      </c>
      <c r="P120" s="100">
        <v>1.64</v>
      </c>
      <c r="Q120" s="100">
        <v>0.98</v>
      </c>
      <c r="R120" s="100">
        <v>0.56</v>
      </c>
    </row>
    <row r="121" ht="16" spans="1:18">
      <c r="A121" s="100">
        <v>2.1</v>
      </c>
      <c r="B121" s="100" t="s">
        <v>118</v>
      </c>
      <c r="C121" s="100">
        <v>0.05</v>
      </c>
      <c r="D121" s="100">
        <v>0.23</v>
      </c>
      <c r="E121" s="100">
        <v>0.09</v>
      </c>
      <c r="F121" s="100">
        <v>0.37</v>
      </c>
      <c r="G121" s="100">
        <v>1.96</v>
      </c>
      <c r="H121" s="100">
        <v>1.64</v>
      </c>
      <c r="I121" s="100">
        <v>0.98</v>
      </c>
      <c r="J121" s="100">
        <v>0.56</v>
      </c>
      <c r="K121" s="100">
        <v>0.05</v>
      </c>
      <c r="L121" s="100">
        <v>0.23</v>
      </c>
      <c r="M121" s="100">
        <v>0.09</v>
      </c>
      <c r="N121" s="100">
        <v>0.37</v>
      </c>
      <c r="O121" s="100">
        <v>1.96</v>
      </c>
      <c r="P121" s="100">
        <v>1.64</v>
      </c>
      <c r="Q121" s="100">
        <v>0.98</v>
      </c>
      <c r="R121" s="100">
        <v>0.56</v>
      </c>
    </row>
    <row r="122" ht="16" spans="1:18">
      <c r="A122" s="100">
        <v>2.11</v>
      </c>
      <c r="B122" s="100" t="s">
        <v>119</v>
      </c>
      <c r="C122" s="100">
        <v>0.05</v>
      </c>
      <c r="D122" s="100">
        <v>0.23</v>
      </c>
      <c r="E122" s="100">
        <v>0.09</v>
      </c>
      <c r="F122" s="100">
        <v>0.37</v>
      </c>
      <c r="G122" s="100">
        <v>1.96</v>
      </c>
      <c r="H122" s="100">
        <v>1.64</v>
      </c>
      <c r="I122" s="100">
        <v>0.98</v>
      </c>
      <c r="J122" s="100">
        <v>0.56</v>
      </c>
      <c r="K122" s="100">
        <v>0.05</v>
      </c>
      <c r="L122" s="100">
        <v>0.23</v>
      </c>
      <c r="M122" s="100">
        <v>0.09</v>
      </c>
      <c r="N122" s="100">
        <v>0.37</v>
      </c>
      <c r="O122" s="100">
        <v>1.96</v>
      </c>
      <c r="P122" s="100">
        <v>1.64</v>
      </c>
      <c r="Q122" s="100">
        <v>0.98</v>
      </c>
      <c r="R122" s="100">
        <v>0.56</v>
      </c>
    </row>
    <row r="123" ht="16" spans="1:18">
      <c r="A123" s="100">
        <v>3</v>
      </c>
      <c r="B123" s="101" t="s">
        <v>127</v>
      </c>
      <c r="C123" s="100">
        <v>0.92</v>
      </c>
      <c r="D123" s="100">
        <v>4.56</v>
      </c>
      <c r="E123" s="100">
        <v>1.8</v>
      </c>
      <c r="F123" s="100">
        <v>7.28</v>
      </c>
      <c r="G123" s="100">
        <v>1.96</v>
      </c>
      <c r="H123" s="100">
        <v>1.64</v>
      </c>
      <c r="I123" s="100">
        <v>0.98</v>
      </c>
      <c r="J123" s="100">
        <v>11.04</v>
      </c>
      <c r="K123" s="100">
        <v>0.92</v>
      </c>
      <c r="L123" s="100">
        <v>4.56</v>
      </c>
      <c r="M123" s="100">
        <v>1.8</v>
      </c>
      <c r="N123" s="100">
        <v>7.28</v>
      </c>
      <c r="O123" s="100">
        <v>1.96</v>
      </c>
      <c r="P123" s="100">
        <v>1.64</v>
      </c>
      <c r="Q123" s="100">
        <v>0.98</v>
      </c>
      <c r="R123" s="100">
        <v>11.04</v>
      </c>
    </row>
    <row r="124" ht="16" spans="1:18">
      <c r="A124" s="100">
        <v>3.1</v>
      </c>
      <c r="B124" s="100" t="s">
        <v>128</v>
      </c>
      <c r="C124" s="100">
        <v>0.23</v>
      </c>
      <c r="D124" s="100">
        <v>1.14</v>
      </c>
      <c r="E124" s="100">
        <v>0.45</v>
      </c>
      <c r="F124" s="100">
        <v>1.82</v>
      </c>
      <c r="G124" s="100">
        <v>1.96</v>
      </c>
      <c r="H124" s="100">
        <v>1.64</v>
      </c>
      <c r="I124" s="100">
        <v>0.98</v>
      </c>
      <c r="J124" s="100">
        <v>2.76</v>
      </c>
      <c r="K124" s="100">
        <v>0.23</v>
      </c>
      <c r="L124" s="100">
        <v>1.14</v>
      </c>
      <c r="M124" s="100">
        <v>0.45</v>
      </c>
      <c r="N124" s="100">
        <v>1.82</v>
      </c>
      <c r="O124" s="100">
        <v>1.96</v>
      </c>
      <c r="P124" s="100">
        <v>1.64</v>
      </c>
      <c r="Q124" s="100">
        <v>0.98</v>
      </c>
      <c r="R124" s="100">
        <v>2.76</v>
      </c>
    </row>
    <row r="125" ht="16" spans="1:18">
      <c r="A125" s="100">
        <v>3.2</v>
      </c>
      <c r="B125" s="100" t="s">
        <v>129</v>
      </c>
      <c r="C125" s="100">
        <v>0.23</v>
      </c>
      <c r="D125" s="100">
        <v>1.14</v>
      </c>
      <c r="E125" s="100">
        <v>0.45</v>
      </c>
      <c r="F125" s="100">
        <v>1.82</v>
      </c>
      <c r="G125" s="100">
        <v>1.96</v>
      </c>
      <c r="H125" s="100">
        <v>1.64</v>
      </c>
      <c r="I125" s="100">
        <v>0.98</v>
      </c>
      <c r="J125" s="100">
        <v>2.76</v>
      </c>
      <c r="K125" s="100">
        <v>0.23</v>
      </c>
      <c r="L125" s="100">
        <v>1.14</v>
      </c>
      <c r="M125" s="100">
        <v>0.45</v>
      </c>
      <c r="N125" s="100">
        <v>1.82</v>
      </c>
      <c r="O125" s="100">
        <v>1.96</v>
      </c>
      <c r="P125" s="100">
        <v>1.64</v>
      </c>
      <c r="Q125" s="100">
        <v>0.98</v>
      </c>
      <c r="R125" s="100">
        <v>2.76</v>
      </c>
    </row>
    <row r="126" ht="16" spans="1:18">
      <c r="A126" s="100">
        <v>3.3</v>
      </c>
      <c r="B126" s="100" t="s">
        <v>130</v>
      </c>
      <c r="C126" s="100">
        <v>0.23</v>
      </c>
      <c r="D126" s="100">
        <v>1.14</v>
      </c>
      <c r="E126" s="100">
        <v>0.45</v>
      </c>
      <c r="F126" s="100">
        <v>1.82</v>
      </c>
      <c r="G126" s="100">
        <v>1.96</v>
      </c>
      <c r="H126" s="100">
        <v>1.64</v>
      </c>
      <c r="I126" s="100">
        <v>0.98</v>
      </c>
      <c r="J126" s="100">
        <v>2.76</v>
      </c>
      <c r="K126" s="100">
        <v>0.23</v>
      </c>
      <c r="L126" s="100">
        <v>1.14</v>
      </c>
      <c r="M126" s="100">
        <v>0.45</v>
      </c>
      <c r="N126" s="100">
        <v>1.82</v>
      </c>
      <c r="O126" s="100">
        <v>1.96</v>
      </c>
      <c r="P126" s="100">
        <v>1.64</v>
      </c>
      <c r="Q126" s="100">
        <v>0.98</v>
      </c>
      <c r="R126" s="100">
        <v>2.76</v>
      </c>
    </row>
    <row r="127" ht="16" spans="1:18">
      <c r="A127" s="100">
        <v>3.4</v>
      </c>
      <c r="B127" s="100" t="s">
        <v>131</v>
      </c>
      <c r="C127" s="100">
        <v>0.23</v>
      </c>
      <c r="D127" s="100">
        <v>1.14</v>
      </c>
      <c r="E127" s="100">
        <v>0.45</v>
      </c>
      <c r="F127" s="100">
        <v>1.82</v>
      </c>
      <c r="G127" s="100">
        <v>1.96</v>
      </c>
      <c r="H127" s="100">
        <v>1.64</v>
      </c>
      <c r="I127" s="100">
        <v>0.98</v>
      </c>
      <c r="J127" s="100">
        <v>2.76</v>
      </c>
      <c r="K127" s="100">
        <v>0.23</v>
      </c>
      <c r="L127" s="100">
        <v>1.14</v>
      </c>
      <c r="M127" s="100">
        <v>0.45</v>
      </c>
      <c r="N127" s="100">
        <v>1.82</v>
      </c>
      <c r="O127" s="100">
        <v>1.96</v>
      </c>
      <c r="P127" s="100">
        <v>1.64</v>
      </c>
      <c r="Q127" s="100">
        <v>0.98</v>
      </c>
      <c r="R127" s="100">
        <v>2.76</v>
      </c>
    </row>
    <row r="128" ht="16" spans="1:18">
      <c r="A128" s="100">
        <v>4</v>
      </c>
      <c r="B128" s="101" t="s">
        <v>132</v>
      </c>
      <c r="C128" s="101">
        <v>2.28</v>
      </c>
      <c r="D128" s="101">
        <v>11.12</v>
      </c>
      <c r="E128" s="101">
        <v>4.41</v>
      </c>
      <c r="F128" s="101">
        <v>17.81</v>
      </c>
      <c r="G128" s="101">
        <v>1.96</v>
      </c>
      <c r="H128" s="101">
        <v>1.64</v>
      </c>
      <c r="I128" s="101">
        <v>0.98</v>
      </c>
      <c r="J128" s="101">
        <v>26.97</v>
      </c>
      <c r="K128" s="101">
        <v>2.28</v>
      </c>
      <c r="L128" s="101">
        <v>11.12</v>
      </c>
      <c r="M128" s="101">
        <v>4.41</v>
      </c>
      <c r="N128" s="101">
        <v>17.81</v>
      </c>
      <c r="O128" s="101">
        <v>1.96</v>
      </c>
      <c r="P128" s="101">
        <v>1.64</v>
      </c>
      <c r="Q128" s="101">
        <v>0.98</v>
      </c>
      <c r="R128" s="101">
        <v>26.97</v>
      </c>
    </row>
    <row r="129" ht="16" spans="1:18">
      <c r="A129" s="100">
        <v>4.1</v>
      </c>
      <c r="B129" s="100" t="s">
        <v>133</v>
      </c>
      <c r="C129" s="100">
        <v>0.23</v>
      </c>
      <c r="D129" s="100">
        <v>1.14</v>
      </c>
      <c r="E129" s="100">
        <v>0.45</v>
      </c>
      <c r="F129" s="100">
        <v>1.82</v>
      </c>
      <c r="G129" s="100">
        <v>1.96</v>
      </c>
      <c r="H129" s="100">
        <v>1.64</v>
      </c>
      <c r="I129" s="100">
        <v>0.98</v>
      </c>
      <c r="J129" s="100">
        <v>2.76</v>
      </c>
      <c r="K129" s="100">
        <v>0.23</v>
      </c>
      <c r="L129" s="100">
        <v>1.14</v>
      </c>
      <c r="M129" s="100">
        <v>0.45</v>
      </c>
      <c r="N129" s="100">
        <v>1.82</v>
      </c>
      <c r="O129" s="100">
        <v>1.96</v>
      </c>
      <c r="P129" s="100">
        <v>1.64</v>
      </c>
      <c r="Q129" s="100">
        <v>0.98</v>
      </c>
      <c r="R129" s="100">
        <v>2.76</v>
      </c>
    </row>
    <row r="130" ht="16" spans="1:18">
      <c r="A130" s="100">
        <v>4.2</v>
      </c>
      <c r="B130" s="100" t="s">
        <v>134</v>
      </c>
      <c r="C130" s="100">
        <v>0.14</v>
      </c>
      <c r="D130" s="100">
        <v>0.68</v>
      </c>
      <c r="E130" s="100">
        <v>0.27</v>
      </c>
      <c r="F130" s="100">
        <v>1.09</v>
      </c>
      <c r="G130" s="100">
        <v>1.96</v>
      </c>
      <c r="H130" s="100">
        <v>1.64</v>
      </c>
      <c r="I130" s="100">
        <v>0.98</v>
      </c>
      <c r="J130" s="100">
        <v>1.65</v>
      </c>
      <c r="K130" s="100">
        <v>0.14</v>
      </c>
      <c r="L130" s="100">
        <v>0.68</v>
      </c>
      <c r="M130" s="100">
        <v>0.27</v>
      </c>
      <c r="N130" s="100">
        <v>1.09</v>
      </c>
      <c r="O130" s="100">
        <v>1.96</v>
      </c>
      <c r="P130" s="100">
        <v>1.64</v>
      </c>
      <c r="Q130" s="100">
        <v>0.98</v>
      </c>
      <c r="R130" s="100">
        <v>1.65</v>
      </c>
    </row>
    <row r="131" ht="16" spans="1:18">
      <c r="A131" s="100">
        <v>4.3</v>
      </c>
      <c r="B131" s="100" t="s">
        <v>135</v>
      </c>
      <c r="C131" s="100">
        <v>0.14</v>
      </c>
      <c r="D131" s="100">
        <v>0.68</v>
      </c>
      <c r="E131" s="100">
        <v>0.27</v>
      </c>
      <c r="F131" s="100">
        <v>1.09</v>
      </c>
      <c r="G131" s="100">
        <v>1.96</v>
      </c>
      <c r="H131" s="100">
        <v>1.64</v>
      </c>
      <c r="I131" s="100">
        <v>0.98</v>
      </c>
      <c r="J131" s="100">
        <v>1.65</v>
      </c>
      <c r="K131" s="100">
        <v>0.14</v>
      </c>
      <c r="L131" s="100">
        <v>0.68</v>
      </c>
      <c r="M131" s="100">
        <v>0.27</v>
      </c>
      <c r="N131" s="100">
        <v>1.09</v>
      </c>
      <c r="O131" s="100">
        <v>1.96</v>
      </c>
      <c r="P131" s="100">
        <v>1.64</v>
      </c>
      <c r="Q131" s="100">
        <v>0.98</v>
      </c>
      <c r="R131" s="100">
        <v>1.65</v>
      </c>
    </row>
    <row r="132" ht="16" spans="1:18">
      <c r="A132" s="100">
        <v>4.4</v>
      </c>
      <c r="B132" s="100" t="s">
        <v>136</v>
      </c>
      <c r="C132" s="100">
        <v>0.14</v>
      </c>
      <c r="D132" s="100">
        <v>0.68</v>
      </c>
      <c r="E132" s="100">
        <v>0.27</v>
      </c>
      <c r="F132" s="100">
        <v>1.09</v>
      </c>
      <c r="G132" s="100">
        <v>1.96</v>
      </c>
      <c r="H132" s="100">
        <v>1.64</v>
      </c>
      <c r="I132" s="100">
        <v>0.98</v>
      </c>
      <c r="J132" s="100">
        <v>1.65</v>
      </c>
      <c r="K132" s="100">
        <v>0.14</v>
      </c>
      <c r="L132" s="100">
        <v>0.68</v>
      </c>
      <c r="M132" s="100">
        <v>0.27</v>
      </c>
      <c r="N132" s="100">
        <v>1.09</v>
      </c>
      <c r="O132" s="100">
        <v>1.96</v>
      </c>
      <c r="P132" s="100">
        <v>1.64</v>
      </c>
      <c r="Q132" s="100">
        <v>0.98</v>
      </c>
      <c r="R132" s="100">
        <v>1.65</v>
      </c>
    </row>
    <row r="133" ht="16" spans="1:18">
      <c r="A133" s="100">
        <v>4.5</v>
      </c>
      <c r="B133" s="100" t="s">
        <v>137</v>
      </c>
      <c r="C133" s="100">
        <v>0.14</v>
      </c>
      <c r="D133" s="100">
        <v>0.68</v>
      </c>
      <c r="E133" s="100">
        <v>0.27</v>
      </c>
      <c r="F133" s="100">
        <v>1.09</v>
      </c>
      <c r="G133" s="100">
        <v>1.96</v>
      </c>
      <c r="H133" s="100">
        <v>1.64</v>
      </c>
      <c r="I133" s="100">
        <v>0.98</v>
      </c>
      <c r="J133" s="100">
        <v>1.65</v>
      </c>
      <c r="K133" s="100">
        <v>0.14</v>
      </c>
      <c r="L133" s="100">
        <v>0.68</v>
      </c>
      <c r="M133" s="100">
        <v>0.27</v>
      </c>
      <c r="N133" s="100">
        <v>1.09</v>
      </c>
      <c r="O133" s="100">
        <v>1.96</v>
      </c>
      <c r="P133" s="100">
        <v>1.64</v>
      </c>
      <c r="Q133" s="100">
        <v>0.98</v>
      </c>
      <c r="R133" s="100">
        <v>1.65</v>
      </c>
    </row>
    <row r="134" ht="16" spans="1:18">
      <c r="A134" s="100">
        <v>4.6</v>
      </c>
      <c r="B134" s="100" t="s">
        <v>138</v>
      </c>
      <c r="C134" s="100">
        <v>0.14</v>
      </c>
      <c r="D134" s="100">
        <v>0.68</v>
      </c>
      <c r="E134" s="100">
        <v>0.27</v>
      </c>
      <c r="F134" s="100">
        <v>1.09</v>
      </c>
      <c r="G134" s="100">
        <v>1.96</v>
      </c>
      <c r="H134" s="100">
        <v>1.64</v>
      </c>
      <c r="I134" s="100">
        <v>0.98</v>
      </c>
      <c r="J134" s="100">
        <v>1.65</v>
      </c>
      <c r="K134" s="100">
        <v>0.14</v>
      </c>
      <c r="L134" s="100">
        <v>0.68</v>
      </c>
      <c r="M134" s="100">
        <v>0.27</v>
      </c>
      <c r="N134" s="100">
        <v>1.09</v>
      </c>
      <c r="O134" s="100">
        <v>1.96</v>
      </c>
      <c r="P134" s="100">
        <v>1.64</v>
      </c>
      <c r="Q134" s="100">
        <v>0.98</v>
      </c>
      <c r="R134" s="100">
        <v>1.65</v>
      </c>
    </row>
    <row r="135" ht="16" spans="1:18">
      <c r="A135" s="100">
        <v>4.7</v>
      </c>
      <c r="B135" s="100" t="s">
        <v>139</v>
      </c>
      <c r="C135" s="100">
        <v>0.14</v>
      </c>
      <c r="D135" s="100">
        <v>0.68</v>
      </c>
      <c r="E135" s="100">
        <v>0.27</v>
      </c>
      <c r="F135" s="100">
        <v>1.09</v>
      </c>
      <c r="G135" s="100">
        <v>1.96</v>
      </c>
      <c r="H135" s="100">
        <v>1.64</v>
      </c>
      <c r="I135" s="100">
        <v>0.98</v>
      </c>
      <c r="J135" s="100">
        <v>1.65</v>
      </c>
      <c r="K135" s="100">
        <v>0.14</v>
      </c>
      <c r="L135" s="100">
        <v>0.68</v>
      </c>
      <c r="M135" s="100">
        <v>0.27</v>
      </c>
      <c r="N135" s="100">
        <v>1.09</v>
      </c>
      <c r="O135" s="100">
        <v>1.96</v>
      </c>
      <c r="P135" s="100">
        <v>1.64</v>
      </c>
      <c r="Q135" s="100">
        <v>0.98</v>
      </c>
      <c r="R135" s="100">
        <v>1.65</v>
      </c>
    </row>
    <row r="136" ht="16" spans="1:18">
      <c r="A136" s="100">
        <v>4.8</v>
      </c>
      <c r="B136" s="100" t="s">
        <v>140</v>
      </c>
      <c r="C136" s="100">
        <v>0.14</v>
      </c>
      <c r="D136" s="100">
        <v>0.68</v>
      </c>
      <c r="E136" s="100">
        <v>0.27</v>
      </c>
      <c r="F136" s="100">
        <v>1.09</v>
      </c>
      <c r="G136" s="100">
        <v>1.96</v>
      </c>
      <c r="H136" s="100">
        <v>1.64</v>
      </c>
      <c r="I136" s="100">
        <v>0.98</v>
      </c>
      <c r="J136" s="100">
        <v>1.65</v>
      </c>
      <c r="K136" s="100">
        <v>0.14</v>
      </c>
      <c r="L136" s="100">
        <v>0.68</v>
      </c>
      <c r="M136" s="100">
        <v>0.27</v>
      </c>
      <c r="N136" s="100">
        <v>1.09</v>
      </c>
      <c r="O136" s="100">
        <v>1.96</v>
      </c>
      <c r="P136" s="100">
        <v>1.64</v>
      </c>
      <c r="Q136" s="100">
        <v>0.98</v>
      </c>
      <c r="R136" s="100">
        <v>1.65</v>
      </c>
    </row>
    <row r="137" ht="16" spans="1:18">
      <c r="A137" s="100">
        <v>4.9</v>
      </c>
      <c r="B137" s="100" t="s">
        <v>75</v>
      </c>
      <c r="C137" s="100">
        <v>0.23</v>
      </c>
      <c r="D137" s="100">
        <v>1.14</v>
      </c>
      <c r="E137" s="100">
        <v>0.45</v>
      </c>
      <c r="F137" s="100">
        <v>1.82</v>
      </c>
      <c r="G137" s="100">
        <v>1.96</v>
      </c>
      <c r="H137" s="100">
        <v>1.64</v>
      </c>
      <c r="I137" s="100">
        <v>0.98</v>
      </c>
      <c r="J137" s="100">
        <v>2.76</v>
      </c>
      <c r="K137" s="100">
        <v>0.23</v>
      </c>
      <c r="L137" s="100">
        <v>1.14</v>
      </c>
      <c r="M137" s="100">
        <v>0.45</v>
      </c>
      <c r="N137" s="100">
        <v>1.82</v>
      </c>
      <c r="O137" s="100">
        <v>1.96</v>
      </c>
      <c r="P137" s="100">
        <v>1.64</v>
      </c>
      <c r="Q137" s="100">
        <v>0.98</v>
      </c>
      <c r="R137" s="100">
        <v>2.76</v>
      </c>
    </row>
    <row r="138" ht="16" spans="1:18">
      <c r="A138" s="100">
        <v>4.1</v>
      </c>
      <c r="B138" s="100" t="s">
        <v>141</v>
      </c>
      <c r="C138" s="100">
        <v>0.14</v>
      </c>
      <c r="D138" s="100">
        <v>0.68</v>
      </c>
      <c r="E138" s="100">
        <v>0.27</v>
      </c>
      <c r="F138" s="100">
        <v>1.09</v>
      </c>
      <c r="G138" s="100">
        <v>1.96</v>
      </c>
      <c r="H138" s="100">
        <v>1.64</v>
      </c>
      <c r="I138" s="100">
        <v>0.98</v>
      </c>
      <c r="J138" s="100">
        <v>1.65</v>
      </c>
      <c r="K138" s="100">
        <v>0.14</v>
      </c>
      <c r="L138" s="100">
        <v>0.68</v>
      </c>
      <c r="M138" s="100">
        <v>0.27</v>
      </c>
      <c r="N138" s="100">
        <v>1.09</v>
      </c>
      <c r="O138" s="100">
        <v>1.96</v>
      </c>
      <c r="P138" s="100">
        <v>1.64</v>
      </c>
      <c r="Q138" s="100">
        <v>0.98</v>
      </c>
      <c r="R138" s="100">
        <v>1.65</v>
      </c>
    </row>
    <row r="139" ht="16" spans="1:18">
      <c r="A139" s="100">
        <v>4.11</v>
      </c>
      <c r="B139" s="100" t="s">
        <v>142</v>
      </c>
      <c r="C139" s="100">
        <v>0.14</v>
      </c>
      <c r="D139" s="100">
        <v>0.68</v>
      </c>
      <c r="E139" s="100">
        <v>0.27</v>
      </c>
      <c r="F139" s="100">
        <v>1.09</v>
      </c>
      <c r="G139" s="100">
        <v>1.96</v>
      </c>
      <c r="H139" s="100">
        <v>1.64</v>
      </c>
      <c r="I139" s="100">
        <v>0.98</v>
      </c>
      <c r="J139" s="100">
        <v>1.65</v>
      </c>
      <c r="K139" s="100">
        <v>0.14</v>
      </c>
      <c r="L139" s="100">
        <v>0.68</v>
      </c>
      <c r="M139" s="100">
        <v>0.27</v>
      </c>
      <c r="N139" s="100">
        <v>1.09</v>
      </c>
      <c r="O139" s="100">
        <v>1.96</v>
      </c>
      <c r="P139" s="100">
        <v>1.64</v>
      </c>
      <c r="Q139" s="100">
        <v>0.98</v>
      </c>
      <c r="R139" s="100">
        <v>1.65</v>
      </c>
    </row>
    <row r="140" ht="16" spans="1:18">
      <c r="A140" s="100">
        <v>4.12</v>
      </c>
      <c r="B140" s="100" t="s">
        <v>143</v>
      </c>
      <c r="C140" s="100">
        <v>0.14</v>
      </c>
      <c r="D140" s="100">
        <v>0.68</v>
      </c>
      <c r="E140" s="100">
        <v>0.27</v>
      </c>
      <c r="F140" s="100">
        <v>1.09</v>
      </c>
      <c r="G140" s="100">
        <v>1.96</v>
      </c>
      <c r="H140" s="100">
        <v>1.64</v>
      </c>
      <c r="I140" s="100">
        <v>0.98</v>
      </c>
      <c r="J140" s="100">
        <v>1.65</v>
      </c>
      <c r="K140" s="100">
        <v>0.14</v>
      </c>
      <c r="L140" s="100">
        <v>0.68</v>
      </c>
      <c r="M140" s="100">
        <v>0.27</v>
      </c>
      <c r="N140" s="100">
        <v>1.09</v>
      </c>
      <c r="O140" s="100">
        <v>1.96</v>
      </c>
      <c r="P140" s="100">
        <v>1.64</v>
      </c>
      <c r="Q140" s="100">
        <v>0.98</v>
      </c>
      <c r="R140" s="100">
        <v>1.65</v>
      </c>
    </row>
    <row r="141" ht="16" spans="1:18">
      <c r="A141" s="100">
        <v>4.13</v>
      </c>
      <c r="B141" s="100" t="s">
        <v>144</v>
      </c>
      <c r="C141" s="100">
        <v>0.14</v>
      </c>
      <c r="D141" s="100">
        <v>0.68</v>
      </c>
      <c r="E141" s="100">
        <v>0.27</v>
      </c>
      <c r="F141" s="100">
        <v>1.09</v>
      </c>
      <c r="G141" s="100">
        <v>1.96</v>
      </c>
      <c r="H141" s="100">
        <v>1.64</v>
      </c>
      <c r="I141" s="100">
        <v>0.98</v>
      </c>
      <c r="J141" s="100">
        <v>1.65</v>
      </c>
      <c r="K141" s="100">
        <v>0.14</v>
      </c>
      <c r="L141" s="100">
        <v>0.68</v>
      </c>
      <c r="M141" s="100">
        <v>0.27</v>
      </c>
      <c r="N141" s="100">
        <v>1.09</v>
      </c>
      <c r="O141" s="100">
        <v>1.96</v>
      </c>
      <c r="P141" s="100">
        <v>1.64</v>
      </c>
      <c r="Q141" s="100">
        <v>0.98</v>
      </c>
      <c r="R141" s="100">
        <v>1.65</v>
      </c>
    </row>
    <row r="142" ht="16" spans="1:18">
      <c r="A142" s="100">
        <v>4.14</v>
      </c>
      <c r="B142" s="100" t="s">
        <v>145</v>
      </c>
      <c r="C142" s="100">
        <v>0.14</v>
      </c>
      <c r="D142" s="100">
        <v>0.68</v>
      </c>
      <c r="E142" s="100">
        <v>0.27</v>
      </c>
      <c r="F142" s="100">
        <v>1.09</v>
      </c>
      <c r="G142" s="100">
        <v>1.96</v>
      </c>
      <c r="H142" s="100">
        <v>1.64</v>
      </c>
      <c r="I142" s="100">
        <v>0.98</v>
      </c>
      <c r="J142" s="100">
        <v>1.65</v>
      </c>
      <c r="K142" s="100">
        <v>0.14</v>
      </c>
      <c r="L142" s="100">
        <v>0.68</v>
      </c>
      <c r="M142" s="100">
        <v>0.27</v>
      </c>
      <c r="N142" s="100">
        <v>1.09</v>
      </c>
      <c r="O142" s="100">
        <v>1.96</v>
      </c>
      <c r="P142" s="100">
        <v>1.64</v>
      </c>
      <c r="Q142" s="100">
        <v>0.98</v>
      </c>
      <c r="R142" s="100">
        <v>1.65</v>
      </c>
    </row>
    <row r="143" ht="16" spans="1:18">
      <c r="A143" s="100">
        <v>4.15</v>
      </c>
      <c r="B143" s="100" t="s">
        <v>146</v>
      </c>
      <c r="C143" s="100">
        <v>0.14</v>
      </c>
      <c r="D143" s="100">
        <v>0.68</v>
      </c>
      <c r="E143" s="100">
        <v>0.27</v>
      </c>
      <c r="F143" s="100">
        <v>1.09</v>
      </c>
      <c r="G143" s="100">
        <v>1.96</v>
      </c>
      <c r="H143" s="100">
        <v>1.64</v>
      </c>
      <c r="I143" s="100">
        <v>0.98</v>
      </c>
      <c r="J143" s="100">
        <v>1.65</v>
      </c>
      <c r="K143" s="100">
        <v>0.14</v>
      </c>
      <c r="L143" s="100">
        <v>0.68</v>
      </c>
      <c r="M143" s="100">
        <v>0.27</v>
      </c>
      <c r="N143" s="100">
        <v>1.09</v>
      </c>
      <c r="O143" s="100">
        <v>1.96</v>
      </c>
      <c r="P143" s="100">
        <v>1.64</v>
      </c>
      <c r="Q143" s="100">
        <v>0.98</v>
      </c>
      <c r="R143" s="100">
        <v>1.65</v>
      </c>
    </row>
    <row r="144" ht="16" spans="1:18">
      <c r="A144" s="100" t="s">
        <v>147</v>
      </c>
      <c r="B144" s="101" t="s">
        <v>148</v>
      </c>
      <c r="C144" s="101">
        <v>6.58</v>
      </c>
      <c r="D144" s="101">
        <v>32.56</v>
      </c>
      <c r="E144" s="101">
        <v>12.98</v>
      </c>
      <c r="F144" s="101">
        <v>52.12</v>
      </c>
      <c r="G144" s="101">
        <v>1.96</v>
      </c>
      <c r="H144" s="101">
        <v>1.64</v>
      </c>
      <c r="I144" s="101">
        <v>0.98</v>
      </c>
      <c r="J144" s="101">
        <v>78.92</v>
      </c>
      <c r="K144" s="101">
        <v>6.58</v>
      </c>
      <c r="L144" s="101">
        <v>32.56</v>
      </c>
      <c r="M144" s="101">
        <v>12.98</v>
      </c>
      <c r="N144" s="101">
        <v>52.12</v>
      </c>
      <c r="O144" s="101">
        <v>1.96</v>
      </c>
      <c r="P144" s="101">
        <v>1.64</v>
      </c>
      <c r="Q144" s="101">
        <v>0.98</v>
      </c>
      <c r="R144" s="101">
        <v>78.92</v>
      </c>
    </row>
    <row r="145" ht="16" spans="1:18">
      <c r="A145" s="100"/>
      <c r="B145" s="101" t="s">
        <v>149</v>
      </c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</row>
    <row r="146" ht="16" spans="1:18">
      <c r="A146" s="100">
        <v>1</v>
      </c>
      <c r="B146" s="101" t="s">
        <v>150</v>
      </c>
      <c r="C146" s="101">
        <v>1.32</v>
      </c>
      <c r="D146" s="101">
        <v>6.59</v>
      </c>
      <c r="E146" s="101">
        <v>2.63</v>
      </c>
      <c r="F146" s="101">
        <v>10.54</v>
      </c>
      <c r="G146" s="101">
        <v>1.96</v>
      </c>
      <c r="H146" s="101">
        <v>1.64</v>
      </c>
      <c r="I146" s="101">
        <v>0.98</v>
      </c>
      <c r="J146" s="101">
        <v>15.97</v>
      </c>
      <c r="K146" s="101">
        <v>1.32</v>
      </c>
      <c r="L146" s="101">
        <v>6.59</v>
      </c>
      <c r="M146" s="101">
        <v>2.63</v>
      </c>
      <c r="N146" s="101">
        <v>10.54</v>
      </c>
      <c r="O146" s="101">
        <v>1.96</v>
      </c>
      <c r="P146" s="101">
        <v>1.64</v>
      </c>
      <c r="Q146" s="101">
        <v>0.98</v>
      </c>
      <c r="R146" s="101">
        <v>15.97</v>
      </c>
    </row>
    <row r="147" ht="16" spans="1:18">
      <c r="A147" s="100">
        <v>1.1</v>
      </c>
      <c r="B147" s="100" t="s">
        <v>151</v>
      </c>
      <c r="C147" s="100">
        <v>0.27</v>
      </c>
      <c r="D147" s="100">
        <v>1.36</v>
      </c>
      <c r="E147" s="100">
        <v>0.55</v>
      </c>
      <c r="F147" s="100">
        <v>2.18</v>
      </c>
      <c r="G147" s="100">
        <v>1.96</v>
      </c>
      <c r="H147" s="100">
        <v>1.64</v>
      </c>
      <c r="I147" s="100">
        <v>0.98</v>
      </c>
      <c r="J147" s="100">
        <v>3.3</v>
      </c>
      <c r="K147" s="100">
        <v>0.27</v>
      </c>
      <c r="L147" s="100">
        <v>1.36</v>
      </c>
      <c r="M147" s="100">
        <v>0.55</v>
      </c>
      <c r="N147" s="100">
        <v>2.18</v>
      </c>
      <c r="O147" s="100">
        <v>1.96</v>
      </c>
      <c r="P147" s="100">
        <v>1.64</v>
      </c>
      <c r="Q147" s="100">
        <v>0.98</v>
      </c>
      <c r="R147" s="100">
        <v>3.3</v>
      </c>
    </row>
    <row r="148" ht="16" spans="1:18">
      <c r="A148" s="100">
        <v>1.2</v>
      </c>
      <c r="B148" s="100" t="s">
        <v>152</v>
      </c>
      <c r="C148" s="100">
        <v>0.27</v>
      </c>
      <c r="D148" s="100">
        <v>1.36</v>
      </c>
      <c r="E148" s="100">
        <v>0.55</v>
      </c>
      <c r="F148" s="100">
        <v>2.18</v>
      </c>
      <c r="G148" s="100">
        <v>1.96</v>
      </c>
      <c r="H148" s="100">
        <v>1.64</v>
      </c>
      <c r="I148" s="100">
        <v>0.98</v>
      </c>
      <c r="J148" s="100">
        <v>3.3</v>
      </c>
      <c r="K148" s="100">
        <v>0.27</v>
      </c>
      <c r="L148" s="100">
        <v>1.36</v>
      </c>
      <c r="M148" s="100">
        <v>0.55</v>
      </c>
      <c r="N148" s="100">
        <v>2.18</v>
      </c>
      <c r="O148" s="100">
        <v>1.96</v>
      </c>
      <c r="P148" s="100">
        <v>1.64</v>
      </c>
      <c r="Q148" s="100">
        <v>0.98</v>
      </c>
      <c r="R148" s="100">
        <v>3.3</v>
      </c>
    </row>
    <row r="149" ht="16" spans="1:18">
      <c r="A149" s="100">
        <v>1.3</v>
      </c>
      <c r="B149" s="100" t="s">
        <v>153</v>
      </c>
      <c r="C149" s="100">
        <v>0.09</v>
      </c>
      <c r="D149" s="100">
        <v>0.45</v>
      </c>
      <c r="E149" s="100">
        <v>0.18</v>
      </c>
      <c r="F149" s="100">
        <v>0.72</v>
      </c>
      <c r="G149" s="100">
        <v>1.96</v>
      </c>
      <c r="H149" s="100">
        <v>1.64</v>
      </c>
      <c r="I149" s="100">
        <v>0.98</v>
      </c>
      <c r="J149" s="100">
        <v>1.09</v>
      </c>
      <c r="K149" s="100">
        <v>0.09</v>
      </c>
      <c r="L149" s="100">
        <v>0.45</v>
      </c>
      <c r="M149" s="100">
        <v>0.18</v>
      </c>
      <c r="N149" s="100">
        <v>0.72</v>
      </c>
      <c r="O149" s="100">
        <v>1.96</v>
      </c>
      <c r="P149" s="100">
        <v>1.64</v>
      </c>
      <c r="Q149" s="100">
        <v>0.98</v>
      </c>
      <c r="R149" s="100">
        <v>1.09</v>
      </c>
    </row>
    <row r="150" ht="16" spans="1:18">
      <c r="A150" s="100">
        <v>1.4</v>
      </c>
      <c r="B150" s="100" t="s">
        <v>154</v>
      </c>
      <c r="C150" s="100">
        <v>0.23</v>
      </c>
      <c r="D150" s="100">
        <v>1.14</v>
      </c>
      <c r="E150" s="100">
        <v>0.45</v>
      </c>
      <c r="F150" s="100">
        <v>1.82</v>
      </c>
      <c r="G150" s="100">
        <v>1.96</v>
      </c>
      <c r="H150" s="100">
        <v>1.64</v>
      </c>
      <c r="I150" s="100">
        <v>0.98</v>
      </c>
      <c r="J150" s="100">
        <v>2.76</v>
      </c>
      <c r="K150" s="100">
        <v>0.23</v>
      </c>
      <c r="L150" s="100">
        <v>1.14</v>
      </c>
      <c r="M150" s="100">
        <v>0.45</v>
      </c>
      <c r="N150" s="100">
        <v>1.82</v>
      </c>
      <c r="O150" s="100">
        <v>1.96</v>
      </c>
      <c r="P150" s="100">
        <v>1.64</v>
      </c>
      <c r="Q150" s="100">
        <v>0.98</v>
      </c>
      <c r="R150" s="100">
        <v>2.76</v>
      </c>
    </row>
    <row r="151" ht="16" spans="1:18">
      <c r="A151" s="100">
        <v>1.5</v>
      </c>
      <c r="B151" s="100" t="s">
        <v>155</v>
      </c>
      <c r="C151" s="100">
        <v>0.23</v>
      </c>
      <c r="D151" s="100">
        <v>1.14</v>
      </c>
      <c r="E151" s="100">
        <v>0.45</v>
      </c>
      <c r="F151" s="100">
        <v>1.82</v>
      </c>
      <c r="G151" s="100">
        <v>1.96</v>
      </c>
      <c r="H151" s="100">
        <v>1.64</v>
      </c>
      <c r="I151" s="100">
        <v>0.98</v>
      </c>
      <c r="J151" s="100">
        <v>2.76</v>
      </c>
      <c r="K151" s="100">
        <v>0.23</v>
      </c>
      <c r="L151" s="100">
        <v>1.14</v>
      </c>
      <c r="M151" s="100">
        <v>0.45</v>
      </c>
      <c r="N151" s="100">
        <v>1.82</v>
      </c>
      <c r="O151" s="100">
        <v>1.96</v>
      </c>
      <c r="P151" s="100">
        <v>1.64</v>
      </c>
      <c r="Q151" s="100">
        <v>0.98</v>
      </c>
      <c r="R151" s="100">
        <v>2.76</v>
      </c>
    </row>
    <row r="152" ht="16" spans="1:18">
      <c r="A152" s="100">
        <v>1.6</v>
      </c>
      <c r="B152" s="100" t="s">
        <v>156</v>
      </c>
      <c r="C152" s="100">
        <v>0.23</v>
      </c>
      <c r="D152" s="100">
        <v>1.14</v>
      </c>
      <c r="E152" s="100">
        <v>0.45</v>
      </c>
      <c r="F152" s="100">
        <v>1.82</v>
      </c>
      <c r="G152" s="100">
        <v>1.96</v>
      </c>
      <c r="H152" s="100">
        <v>1.64</v>
      </c>
      <c r="I152" s="100">
        <v>0.98</v>
      </c>
      <c r="J152" s="100">
        <v>2.76</v>
      </c>
      <c r="K152" s="100">
        <v>0.23</v>
      </c>
      <c r="L152" s="100">
        <v>1.14</v>
      </c>
      <c r="M152" s="100">
        <v>0.45</v>
      </c>
      <c r="N152" s="100">
        <v>1.82</v>
      </c>
      <c r="O152" s="100">
        <v>1.96</v>
      </c>
      <c r="P152" s="100">
        <v>1.64</v>
      </c>
      <c r="Q152" s="100">
        <v>0.98</v>
      </c>
      <c r="R152" s="100">
        <v>2.76</v>
      </c>
    </row>
    <row r="153" ht="16" spans="1:18">
      <c r="A153" s="100">
        <v>2</v>
      </c>
      <c r="B153" s="101" t="s">
        <v>157</v>
      </c>
      <c r="C153" s="101">
        <v>1.14</v>
      </c>
      <c r="D153" s="101">
        <v>5.64</v>
      </c>
      <c r="E153" s="101">
        <v>2.25</v>
      </c>
      <c r="F153" s="101">
        <v>9.03</v>
      </c>
      <c r="G153" s="101">
        <v>1.96</v>
      </c>
      <c r="H153" s="101">
        <v>1.64</v>
      </c>
      <c r="I153" s="101">
        <v>0.98</v>
      </c>
      <c r="J153" s="101">
        <v>13.67</v>
      </c>
      <c r="K153" s="101">
        <v>1.14</v>
      </c>
      <c r="L153" s="101">
        <v>5.64</v>
      </c>
      <c r="M153" s="101">
        <v>2.25</v>
      </c>
      <c r="N153" s="101">
        <v>9.03</v>
      </c>
      <c r="O153" s="101">
        <v>1.96</v>
      </c>
      <c r="P153" s="101">
        <v>1.64</v>
      </c>
      <c r="Q153" s="101">
        <v>0.98</v>
      </c>
      <c r="R153" s="101">
        <v>13.67</v>
      </c>
    </row>
    <row r="154" ht="16" spans="1:18">
      <c r="A154" s="100">
        <v>2.1</v>
      </c>
      <c r="B154" s="100" t="s">
        <v>158</v>
      </c>
      <c r="C154" s="100">
        <v>0.09</v>
      </c>
      <c r="D154" s="100">
        <v>0.45</v>
      </c>
      <c r="E154" s="100">
        <v>0.18</v>
      </c>
      <c r="F154" s="100">
        <v>0.72</v>
      </c>
      <c r="G154" s="100">
        <v>1.96</v>
      </c>
      <c r="H154" s="100">
        <v>1.64</v>
      </c>
      <c r="I154" s="100">
        <v>0.98</v>
      </c>
      <c r="J154" s="100">
        <v>1.09</v>
      </c>
      <c r="K154" s="100">
        <v>0.09</v>
      </c>
      <c r="L154" s="100">
        <v>0.45</v>
      </c>
      <c r="M154" s="100">
        <v>0.18</v>
      </c>
      <c r="N154" s="100">
        <v>0.72</v>
      </c>
      <c r="O154" s="100">
        <v>1.96</v>
      </c>
      <c r="P154" s="100">
        <v>1.64</v>
      </c>
      <c r="Q154" s="100">
        <v>0.98</v>
      </c>
      <c r="R154" s="100">
        <v>1.09</v>
      </c>
    </row>
    <row r="155" ht="16" spans="1:18">
      <c r="A155" s="100">
        <v>2.2</v>
      </c>
      <c r="B155" s="100" t="s">
        <v>159</v>
      </c>
      <c r="C155" s="100">
        <v>0.09</v>
      </c>
      <c r="D155" s="100">
        <v>0.45</v>
      </c>
      <c r="E155" s="100">
        <v>0.18</v>
      </c>
      <c r="F155" s="100">
        <v>0.72</v>
      </c>
      <c r="G155" s="100">
        <v>1.96</v>
      </c>
      <c r="H155" s="100">
        <v>1.64</v>
      </c>
      <c r="I155" s="100">
        <v>0.98</v>
      </c>
      <c r="J155" s="100">
        <v>1.09</v>
      </c>
      <c r="K155" s="100">
        <v>0.09</v>
      </c>
      <c r="L155" s="100">
        <v>0.45</v>
      </c>
      <c r="M155" s="100">
        <v>0.18</v>
      </c>
      <c r="N155" s="100">
        <v>0.72</v>
      </c>
      <c r="O155" s="100">
        <v>1.96</v>
      </c>
      <c r="P155" s="100">
        <v>1.64</v>
      </c>
      <c r="Q155" s="100">
        <v>0.98</v>
      </c>
      <c r="R155" s="100">
        <v>1.09</v>
      </c>
    </row>
    <row r="156" ht="16" spans="1:18">
      <c r="A156" s="100">
        <v>2.3</v>
      </c>
      <c r="B156" s="100" t="s">
        <v>160</v>
      </c>
      <c r="C156" s="100">
        <v>0.14</v>
      </c>
      <c r="D156" s="100">
        <v>0.68</v>
      </c>
      <c r="E156" s="100">
        <v>0.27</v>
      </c>
      <c r="F156" s="100">
        <v>1.09</v>
      </c>
      <c r="G156" s="100">
        <v>1.96</v>
      </c>
      <c r="H156" s="100">
        <v>1.64</v>
      </c>
      <c r="I156" s="100">
        <v>0.98</v>
      </c>
      <c r="J156" s="100">
        <v>1.65</v>
      </c>
      <c r="K156" s="100">
        <v>0.14</v>
      </c>
      <c r="L156" s="100">
        <v>0.68</v>
      </c>
      <c r="M156" s="100">
        <v>0.27</v>
      </c>
      <c r="N156" s="100">
        <v>1.09</v>
      </c>
      <c r="O156" s="100">
        <v>1.96</v>
      </c>
      <c r="P156" s="100">
        <v>1.64</v>
      </c>
      <c r="Q156" s="100">
        <v>0.98</v>
      </c>
      <c r="R156" s="100">
        <v>1.65</v>
      </c>
    </row>
    <row r="157" ht="31" spans="1:18">
      <c r="A157" s="100">
        <v>2.4</v>
      </c>
      <c r="B157" s="100" t="s">
        <v>161</v>
      </c>
      <c r="C157" s="100">
        <v>0.09</v>
      </c>
      <c r="D157" s="100">
        <v>0.45</v>
      </c>
      <c r="E157" s="100">
        <v>0.18</v>
      </c>
      <c r="F157" s="100">
        <v>0.72</v>
      </c>
      <c r="G157" s="100">
        <v>1.96</v>
      </c>
      <c r="H157" s="100">
        <v>1.64</v>
      </c>
      <c r="I157" s="100">
        <v>0.98</v>
      </c>
      <c r="J157" s="100">
        <v>1.09</v>
      </c>
      <c r="K157" s="100">
        <v>0.09</v>
      </c>
      <c r="L157" s="100">
        <v>0.45</v>
      </c>
      <c r="M157" s="100">
        <v>0.18</v>
      </c>
      <c r="N157" s="100">
        <v>0.72</v>
      </c>
      <c r="O157" s="100">
        <v>1.96</v>
      </c>
      <c r="P157" s="100">
        <v>1.64</v>
      </c>
      <c r="Q157" s="100">
        <v>0.98</v>
      </c>
      <c r="R157" s="100">
        <v>1.09</v>
      </c>
    </row>
    <row r="158" ht="31" spans="1:18">
      <c r="A158" s="100">
        <v>2.5</v>
      </c>
      <c r="B158" s="100" t="s">
        <v>162</v>
      </c>
      <c r="C158" s="100">
        <v>0.09</v>
      </c>
      <c r="D158" s="100">
        <v>0.45</v>
      </c>
      <c r="E158" s="100">
        <v>0.18</v>
      </c>
      <c r="F158" s="100">
        <v>0.72</v>
      </c>
      <c r="G158" s="100">
        <v>1.96</v>
      </c>
      <c r="H158" s="100">
        <v>1.64</v>
      </c>
      <c r="I158" s="100">
        <v>0.98</v>
      </c>
      <c r="J158" s="100">
        <v>1.09</v>
      </c>
      <c r="K158" s="100">
        <v>0.09</v>
      </c>
      <c r="L158" s="100">
        <v>0.45</v>
      </c>
      <c r="M158" s="100">
        <v>0.18</v>
      </c>
      <c r="N158" s="100">
        <v>0.72</v>
      </c>
      <c r="O158" s="100">
        <v>1.96</v>
      </c>
      <c r="P158" s="100">
        <v>1.64</v>
      </c>
      <c r="Q158" s="100">
        <v>0.98</v>
      </c>
      <c r="R158" s="100">
        <v>1.09</v>
      </c>
    </row>
    <row r="159" ht="31" spans="1:18">
      <c r="A159" s="100">
        <v>2.6</v>
      </c>
      <c r="B159" s="100" t="s">
        <v>163</v>
      </c>
      <c r="C159" s="100">
        <v>0.09</v>
      </c>
      <c r="D159" s="100">
        <v>0.45</v>
      </c>
      <c r="E159" s="100">
        <v>0.18</v>
      </c>
      <c r="F159" s="100">
        <v>0.72</v>
      </c>
      <c r="G159" s="100">
        <v>1.96</v>
      </c>
      <c r="H159" s="100">
        <v>1.64</v>
      </c>
      <c r="I159" s="100">
        <v>0.98</v>
      </c>
      <c r="J159" s="100">
        <v>1.09</v>
      </c>
      <c r="K159" s="100">
        <v>0.09</v>
      </c>
      <c r="L159" s="100">
        <v>0.45</v>
      </c>
      <c r="M159" s="100">
        <v>0.18</v>
      </c>
      <c r="N159" s="100">
        <v>0.72</v>
      </c>
      <c r="O159" s="100">
        <v>1.96</v>
      </c>
      <c r="P159" s="100">
        <v>1.64</v>
      </c>
      <c r="Q159" s="100">
        <v>0.98</v>
      </c>
      <c r="R159" s="100">
        <v>1.09</v>
      </c>
    </row>
    <row r="160" ht="31" spans="1:18">
      <c r="A160" s="100">
        <v>2.7</v>
      </c>
      <c r="B160" s="100" t="s">
        <v>164</v>
      </c>
      <c r="C160" s="100">
        <v>0.09</v>
      </c>
      <c r="D160" s="100">
        <v>0.45</v>
      </c>
      <c r="E160" s="100">
        <v>0.18</v>
      </c>
      <c r="F160" s="100">
        <v>0.72</v>
      </c>
      <c r="G160" s="100">
        <v>1.96</v>
      </c>
      <c r="H160" s="100">
        <v>1.64</v>
      </c>
      <c r="I160" s="100">
        <v>0.98</v>
      </c>
      <c r="J160" s="100">
        <v>1.09</v>
      </c>
      <c r="K160" s="100">
        <v>0.09</v>
      </c>
      <c r="L160" s="100">
        <v>0.45</v>
      </c>
      <c r="M160" s="100">
        <v>0.18</v>
      </c>
      <c r="N160" s="100">
        <v>0.72</v>
      </c>
      <c r="O160" s="100">
        <v>1.96</v>
      </c>
      <c r="P160" s="100">
        <v>1.64</v>
      </c>
      <c r="Q160" s="100">
        <v>0.98</v>
      </c>
      <c r="R160" s="100">
        <v>1.09</v>
      </c>
    </row>
    <row r="161" ht="31" spans="1:18">
      <c r="A161" s="100">
        <v>2.8</v>
      </c>
      <c r="B161" s="100" t="s">
        <v>162</v>
      </c>
      <c r="C161" s="100">
        <v>0.09</v>
      </c>
      <c r="D161" s="100">
        <v>0.45</v>
      </c>
      <c r="E161" s="100">
        <v>0.18</v>
      </c>
      <c r="F161" s="100">
        <v>0.72</v>
      </c>
      <c r="G161" s="100">
        <v>1.96</v>
      </c>
      <c r="H161" s="100">
        <v>1.64</v>
      </c>
      <c r="I161" s="100">
        <v>0.98</v>
      </c>
      <c r="J161" s="100">
        <v>1.09</v>
      </c>
      <c r="K161" s="100">
        <v>0.09</v>
      </c>
      <c r="L161" s="100">
        <v>0.45</v>
      </c>
      <c r="M161" s="100">
        <v>0.18</v>
      </c>
      <c r="N161" s="100">
        <v>0.72</v>
      </c>
      <c r="O161" s="100">
        <v>1.96</v>
      </c>
      <c r="P161" s="100">
        <v>1.64</v>
      </c>
      <c r="Q161" s="100">
        <v>0.98</v>
      </c>
      <c r="R161" s="100">
        <v>1.09</v>
      </c>
    </row>
    <row r="162" ht="31" spans="1:18">
      <c r="A162" s="100">
        <v>2.9</v>
      </c>
      <c r="B162" s="100" t="s">
        <v>165</v>
      </c>
      <c r="C162" s="100">
        <v>0.09</v>
      </c>
      <c r="D162" s="100">
        <v>0.45</v>
      </c>
      <c r="E162" s="100">
        <v>0.18</v>
      </c>
      <c r="F162" s="100">
        <v>0.72</v>
      </c>
      <c r="G162" s="100">
        <v>1.96</v>
      </c>
      <c r="H162" s="100">
        <v>1.64</v>
      </c>
      <c r="I162" s="100">
        <v>0.98</v>
      </c>
      <c r="J162" s="100">
        <v>1.09</v>
      </c>
      <c r="K162" s="100">
        <v>0.09</v>
      </c>
      <c r="L162" s="100">
        <v>0.45</v>
      </c>
      <c r="M162" s="100">
        <v>0.18</v>
      </c>
      <c r="N162" s="100">
        <v>0.72</v>
      </c>
      <c r="O162" s="100">
        <v>1.96</v>
      </c>
      <c r="P162" s="100">
        <v>1.64</v>
      </c>
      <c r="Q162" s="100">
        <v>0.98</v>
      </c>
      <c r="R162" s="100">
        <v>1.09</v>
      </c>
    </row>
    <row r="163" ht="16" spans="1:18">
      <c r="A163" s="100">
        <v>2.1</v>
      </c>
      <c r="B163" s="100" t="s">
        <v>166</v>
      </c>
      <c r="C163" s="100">
        <v>0.14</v>
      </c>
      <c r="D163" s="100">
        <v>0.68</v>
      </c>
      <c r="E163" s="100">
        <v>0.27</v>
      </c>
      <c r="F163" s="100">
        <v>1.09</v>
      </c>
      <c r="G163" s="100">
        <v>1.96</v>
      </c>
      <c r="H163" s="100">
        <v>1.64</v>
      </c>
      <c r="I163" s="100">
        <v>0.98</v>
      </c>
      <c r="J163" s="100">
        <v>1.65</v>
      </c>
      <c r="K163" s="100">
        <v>0.14</v>
      </c>
      <c r="L163" s="100">
        <v>0.68</v>
      </c>
      <c r="M163" s="100">
        <v>0.27</v>
      </c>
      <c r="N163" s="100">
        <v>1.09</v>
      </c>
      <c r="O163" s="100">
        <v>1.96</v>
      </c>
      <c r="P163" s="100">
        <v>1.64</v>
      </c>
      <c r="Q163" s="100">
        <v>0.98</v>
      </c>
      <c r="R163" s="100">
        <v>1.65</v>
      </c>
    </row>
    <row r="164" ht="16" spans="1:18">
      <c r="A164" s="100">
        <v>2.11</v>
      </c>
      <c r="B164" s="100" t="s">
        <v>167</v>
      </c>
      <c r="C164" s="100">
        <v>0.14</v>
      </c>
      <c r="D164" s="100">
        <v>0.68</v>
      </c>
      <c r="E164" s="100">
        <v>0.27</v>
      </c>
      <c r="F164" s="100">
        <v>1.09</v>
      </c>
      <c r="G164" s="100">
        <v>1.96</v>
      </c>
      <c r="H164" s="100">
        <v>1.64</v>
      </c>
      <c r="I164" s="100">
        <v>0.98</v>
      </c>
      <c r="J164" s="100">
        <v>1.65</v>
      </c>
      <c r="K164" s="100">
        <v>0.14</v>
      </c>
      <c r="L164" s="100">
        <v>0.68</v>
      </c>
      <c r="M164" s="100">
        <v>0.27</v>
      </c>
      <c r="N164" s="100">
        <v>1.09</v>
      </c>
      <c r="O164" s="100">
        <v>1.96</v>
      </c>
      <c r="P164" s="100">
        <v>1.64</v>
      </c>
      <c r="Q164" s="100">
        <v>0.98</v>
      </c>
      <c r="R164" s="100">
        <v>1.65</v>
      </c>
    </row>
    <row r="165" ht="16" spans="1:18">
      <c r="A165" s="100">
        <v>3</v>
      </c>
      <c r="B165" s="101" t="s">
        <v>168</v>
      </c>
      <c r="C165" s="101">
        <v>1.1</v>
      </c>
      <c r="D165" s="101">
        <v>5.42</v>
      </c>
      <c r="E165" s="101">
        <v>2.16</v>
      </c>
      <c r="F165" s="101">
        <v>8.68</v>
      </c>
      <c r="G165" s="101">
        <v>1.96</v>
      </c>
      <c r="H165" s="101">
        <v>1.64</v>
      </c>
      <c r="I165" s="101">
        <v>0.98</v>
      </c>
      <c r="J165" s="101">
        <v>13.14</v>
      </c>
      <c r="K165" s="101">
        <v>1.1</v>
      </c>
      <c r="L165" s="101">
        <v>5.42</v>
      </c>
      <c r="M165" s="101">
        <v>2.16</v>
      </c>
      <c r="N165" s="101">
        <v>8.68</v>
      </c>
      <c r="O165" s="101">
        <v>1.96</v>
      </c>
      <c r="P165" s="101">
        <v>1.64</v>
      </c>
      <c r="Q165" s="101">
        <v>0.98</v>
      </c>
      <c r="R165" s="101">
        <v>13.14</v>
      </c>
    </row>
    <row r="166" ht="16" spans="1:18">
      <c r="A166" s="100">
        <v>3.1</v>
      </c>
      <c r="B166" s="100" t="s">
        <v>169</v>
      </c>
      <c r="C166" s="100">
        <v>0.09</v>
      </c>
      <c r="D166" s="100">
        <v>0.45</v>
      </c>
      <c r="E166" s="100">
        <v>0.18</v>
      </c>
      <c r="F166" s="100">
        <v>0.72</v>
      </c>
      <c r="G166" s="100">
        <v>1.96</v>
      </c>
      <c r="H166" s="100">
        <v>1.64</v>
      </c>
      <c r="I166" s="100">
        <v>0.98</v>
      </c>
      <c r="J166" s="100">
        <v>1.09</v>
      </c>
      <c r="K166" s="100">
        <v>0.09</v>
      </c>
      <c r="L166" s="100">
        <v>0.45</v>
      </c>
      <c r="M166" s="100">
        <v>0.18</v>
      </c>
      <c r="N166" s="100">
        <v>0.72</v>
      </c>
      <c r="O166" s="100">
        <v>1.96</v>
      </c>
      <c r="P166" s="100">
        <v>1.64</v>
      </c>
      <c r="Q166" s="100">
        <v>0.98</v>
      </c>
      <c r="R166" s="100">
        <v>1.09</v>
      </c>
    </row>
    <row r="167" ht="16" spans="1:18">
      <c r="A167" s="100">
        <v>3.2</v>
      </c>
      <c r="B167" s="100" t="s">
        <v>170</v>
      </c>
      <c r="C167" s="100">
        <v>0.05</v>
      </c>
      <c r="D167" s="100">
        <v>0.23</v>
      </c>
      <c r="E167" s="100">
        <v>0.09</v>
      </c>
      <c r="F167" s="100">
        <v>0.37</v>
      </c>
      <c r="G167" s="100">
        <v>1.96</v>
      </c>
      <c r="H167" s="100">
        <v>1.64</v>
      </c>
      <c r="I167" s="100">
        <v>0.98</v>
      </c>
      <c r="J167" s="100">
        <v>0.56</v>
      </c>
      <c r="K167" s="100">
        <v>0.05</v>
      </c>
      <c r="L167" s="100">
        <v>0.23</v>
      </c>
      <c r="M167" s="100">
        <v>0.09</v>
      </c>
      <c r="N167" s="100">
        <v>0.37</v>
      </c>
      <c r="O167" s="100">
        <v>1.96</v>
      </c>
      <c r="P167" s="100">
        <v>1.64</v>
      </c>
      <c r="Q167" s="100">
        <v>0.98</v>
      </c>
      <c r="R167" s="100">
        <v>0.56</v>
      </c>
    </row>
    <row r="168" ht="16" spans="1:18">
      <c r="A168" s="100">
        <v>3.3</v>
      </c>
      <c r="B168" s="100" t="s">
        <v>171</v>
      </c>
      <c r="C168" s="100">
        <v>0.14</v>
      </c>
      <c r="D168" s="100">
        <v>0.68</v>
      </c>
      <c r="E168" s="100">
        <v>0.27</v>
      </c>
      <c r="F168" s="100">
        <v>1.09</v>
      </c>
      <c r="G168" s="100">
        <v>1.96</v>
      </c>
      <c r="H168" s="100">
        <v>1.64</v>
      </c>
      <c r="I168" s="100">
        <v>0.98</v>
      </c>
      <c r="J168" s="100">
        <v>1.65</v>
      </c>
      <c r="K168" s="100">
        <v>0.14</v>
      </c>
      <c r="L168" s="100">
        <v>0.68</v>
      </c>
      <c r="M168" s="100">
        <v>0.27</v>
      </c>
      <c r="N168" s="100">
        <v>1.09</v>
      </c>
      <c r="O168" s="100">
        <v>1.96</v>
      </c>
      <c r="P168" s="100">
        <v>1.64</v>
      </c>
      <c r="Q168" s="100">
        <v>0.98</v>
      </c>
      <c r="R168" s="100">
        <v>1.65</v>
      </c>
    </row>
    <row r="169" ht="31" spans="1:18">
      <c r="A169" s="100">
        <v>3.4</v>
      </c>
      <c r="B169" s="100" t="s">
        <v>172</v>
      </c>
      <c r="C169" s="100">
        <v>0.09</v>
      </c>
      <c r="D169" s="100">
        <v>0.45</v>
      </c>
      <c r="E169" s="100">
        <v>0.18</v>
      </c>
      <c r="F169" s="100">
        <v>0.72</v>
      </c>
      <c r="G169" s="100">
        <v>1.96</v>
      </c>
      <c r="H169" s="100">
        <v>1.64</v>
      </c>
      <c r="I169" s="100">
        <v>0.98</v>
      </c>
      <c r="J169" s="100">
        <v>1.09</v>
      </c>
      <c r="K169" s="100">
        <v>0.09</v>
      </c>
      <c r="L169" s="100">
        <v>0.45</v>
      </c>
      <c r="M169" s="100">
        <v>0.18</v>
      </c>
      <c r="N169" s="100">
        <v>0.72</v>
      </c>
      <c r="O169" s="100">
        <v>1.96</v>
      </c>
      <c r="P169" s="100">
        <v>1.64</v>
      </c>
      <c r="Q169" s="100">
        <v>0.98</v>
      </c>
      <c r="R169" s="100">
        <v>1.09</v>
      </c>
    </row>
    <row r="170" ht="31" spans="1:18">
      <c r="A170" s="100">
        <v>3.5</v>
      </c>
      <c r="B170" s="100" t="s">
        <v>173</v>
      </c>
      <c r="C170" s="100">
        <v>0.09</v>
      </c>
      <c r="D170" s="100">
        <v>0.45</v>
      </c>
      <c r="E170" s="100">
        <v>0.18</v>
      </c>
      <c r="F170" s="100">
        <v>0.72</v>
      </c>
      <c r="G170" s="100">
        <v>1.96</v>
      </c>
      <c r="H170" s="100">
        <v>1.64</v>
      </c>
      <c r="I170" s="100">
        <v>0.98</v>
      </c>
      <c r="J170" s="100">
        <v>1.09</v>
      </c>
      <c r="K170" s="100">
        <v>0.09</v>
      </c>
      <c r="L170" s="100">
        <v>0.45</v>
      </c>
      <c r="M170" s="100">
        <v>0.18</v>
      </c>
      <c r="N170" s="100">
        <v>0.72</v>
      </c>
      <c r="O170" s="100">
        <v>1.96</v>
      </c>
      <c r="P170" s="100">
        <v>1.64</v>
      </c>
      <c r="Q170" s="100">
        <v>0.98</v>
      </c>
      <c r="R170" s="100">
        <v>1.09</v>
      </c>
    </row>
    <row r="171" ht="31" spans="1:18">
      <c r="A171" s="100">
        <v>3.6</v>
      </c>
      <c r="B171" s="100" t="s">
        <v>174</v>
      </c>
      <c r="C171" s="100">
        <v>0.09</v>
      </c>
      <c r="D171" s="100">
        <v>0.45</v>
      </c>
      <c r="E171" s="100">
        <v>0.18</v>
      </c>
      <c r="F171" s="100">
        <v>0.72</v>
      </c>
      <c r="G171" s="100">
        <v>1.96</v>
      </c>
      <c r="H171" s="100">
        <v>1.64</v>
      </c>
      <c r="I171" s="100">
        <v>0.98</v>
      </c>
      <c r="J171" s="100">
        <v>1.09</v>
      </c>
      <c r="K171" s="100">
        <v>0.09</v>
      </c>
      <c r="L171" s="100">
        <v>0.45</v>
      </c>
      <c r="M171" s="100">
        <v>0.18</v>
      </c>
      <c r="N171" s="100">
        <v>0.72</v>
      </c>
      <c r="O171" s="100">
        <v>1.96</v>
      </c>
      <c r="P171" s="100">
        <v>1.64</v>
      </c>
      <c r="Q171" s="100">
        <v>0.98</v>
      </c>
      <c r="R171" s="100">
        <v>1.09</v>
      </c>
    </row>
    <row r="172" ht="31" spans="1:18">
      <c r="A172" s="100">
        <v>3.7</v>
      </c>
      <c r="B172" s="100" t="s">
        <v>175</v>
      </c>
      <c r="C172" s="100">
        <v>0.09</v>
      </c>
      <c r="D172" s="100">
        <v>0.45</v>
      </c>
      <c r="E172" s="100">
        <v>0.18</v>
      </c>
      <c r="F172" s="100">
        <v>0.72</v>
      </c>
      <c r="G172" s="100">
        <v>1.96</v>
      </c>
      <c r="H172" s="100">
        <v>1.64</v>
      </c>
      <c r="I172" s="100">
        <v>0.98</v>
      </c>
      <c r="J172" s="100">
        <v>1.09</v>
      </c>
      <c r="K172" s="100">
        <v>0.09</v>
      </c>
      <c r="L172" s="100">
        <v>0.45</v>
      </c>
      <c r="M172" s="100">
        <v>0.18</v>
      </c>
      <c r="N172" s="100">
        <v>0.72</v>
      </c>
      <c r="O172" s="100">
        <v>1.96</v>
      </c>
      <c r="P172" s="100">
        <v>1.64</v>
      </c>
      <c r="Q172" s="100">
        <v>0.98</v>
      </c>
      <c r="R172" s="100">
        <v>1.09</v>
      </c>
    </row>
    <row r="173" ht="31" spans="1:18">
      <c r="A173" s="100">
        <v>3.8</v>
      </c>
      <c r="B173" s="100" t="s">
        <v>173</v>
      </c>
      <c r="C173" s="100">
        <v>0.09</v>
      </c>
      <c r="D173" s="100">
        <v>0.45</v>
      </c>
      <c r="E173" s="100">
        <v>0.18</v>
      </c>
      <c r="F173" s="100">
        <v>0.72</v>
      </c>
      <c r="G173" s="100">
        <v>1.96</v>
      </c>
      <c r="H173" s="100">
        <v>1.64</v>
      </c>
      <c r="I173" s="100">
        <v>0.98</v>
      </c>
      <c r="J173" s="100">
        <v>1.09</v>
      </c>
      <c r="K173" s="100">
        <v>0.09</v>
      </c>
      <c r="L173" s="100">
        <v>0.45</v>
      </c>
      <c r="M173" s="100">
        <v>0.18</v>
      </c>
      <c r="N173" s="100">
        <v>0.72</v>
      </c>
      <c r="O173" s="100">
        <v>1.96</v>
      </c>
      <c r="P173" s="100">
        <v>1.64</v>
      </c>
      <c r="Q173" s="100">
        <v>0.98</v>
      </c>
      <c r="R173" s="100">
        <v>1.09</v>
      </c>
    </row>
    <row r="174" ht="31" spans="1:18">
      <c r="A174" s="100">
        <v>3.9</v>
      </c>
      <c r="B174" s="100" t="s">
        <v>176</v>
      </c>
      <c r="C174" s="100">
        <v>0.09</v>
      </c>
      <c r="D174" s="100">
        <v>0.45</v>
      </c>
      <c r="E174" s="100">
        <v>0.18</v>
      </c>
      <c r="F174" s="100">
        <v>0.72</v>
      </c>
      <c r="G174" s="100">
        <v>1.96</v>
      </c>
      <c r="H174" s="100">
        <v>1.64</v>
      </c>
      <c r="I174" s="100">
        <v>0.98</v>
      </c>
      <c r="J174" s="100">
        <v>1.09</v>
      </c>
      <c r="K174" s="100">
        <v>0.09</v>
      </c>
      <c r="L174" s="100">
        <v>0.45</v>
      </c>
      <c r="M174" s="100">
        <v>0.18</v>
      </c>
      <c r="N174" s="100">
        <v>0.72</v>
      </c>
      <c r="O174" s="100">
        <v>1.96</v>
      </c>
      <c r="P174" s="100">
        <v>1.64</v>
      </c>
      <c r="Q174" s="100">
        <v>0.98</v>
      </c>
      <c r="R174" s="100">
        <v>1.09</v>
      </c>
    </row>
    <row r="175" ht="16" spans="1:18">
      <c r="A175" s="100">
        <v>3.1</v>
      </c>
      <c r="B175" s="100" t="s">
        <v>177</v>
      </c>
      <c r="C175" s="100">
        <v>0.14</v>
      </c>
      <c r="D175" s="100">
        <v>0.68</v>
      </c>
      <c r="E175" s="100">
        <v>0.27</v>
      </c>
      <c r="F175" s="100">
        <v>1.09</v>
      </c>
      <c r="G175" s="100">
        <v>1.96</v>
      </c>
      <c r="H175" s="100">
        <v>1.64</v>
      </c>
      <c r="I175" s="100">
        <v>0.98</v>
      </c>
      <c r="J175" s="100">
        <v>1.65</v>
      </c>
      <c r="K175" s="100">
        <v>0.14</v>
      </c>
      <c r="L175" s="100">
        <v>0.68</v>
      </c>
      <c r="M175" s="100">
        <v>0.27</v>
      </c>
      <c r="N175" s="100">
        <v>1.09</v>
      </c>
      <c r="O175" s="100">
        <v>1.96</v>
      </c>
      <c r="P175" s="100">
        <v>1.64</v>
      </c>
      <c r="Q175" s="100">
        <v>0.98</v>
      </c>
      <c r="R175" s="100">
        <v>1.65</v>
      </c>
    </row>
    <row r="176" ht="16" spans="1:18">
      <c r="A176" s="100">
        <v>3.11</v>
      </c>
      <c r="B176" s="100" t="s">
        <v>178</v>
      </c>
      <c r="C176" s="100">
        <v>0.14</v>
      </c>
      <c r="D176" s="100">
        <v>0.68</v>
      </c>
      <c r="E176" s="100">
        <v>0.27</v>
      </c>
      <c r="F176" s="100">
        <v>1.09</v>
      </c>
      <c r="G176" s="100">
        <v>1.96</v>
      </c>
      <c r="H176" s="100">
        <v>1.64</v>
      </c>
      <c r="I176" s="100">
        <v>0.98</v>
      </c>
      <c r="J176" s="100">
        <v>1.65</v>
      </c>
      <c r="K176" s="100">
        <v>0.14</v>
      </c>
      <c r="L176" s="100">
        <v>0.68</v>
      </c>
      <c r="M176" s="100">
        <v>0.27</v>
      </c>
      <c r="N176" s="100">
        <v>1.09</v>
      </c>
      <c r="O176" s="100">
        <v>1.96</v>
      </c>
      <c r="P176" s="100">
        <v>1.64</v>
      </c>
      <c r="Q176" s="100">
        <v>0.98</v>
      </c>
      <c r="R176" s="100">
        <v>1.65</v>
      </c>
    </row>
    <row r="177" ht="16" spans="1:18">
      <c r="A177" s="100">
        <v>4</v>
      </c>
      <c r="B177" s="101" t="s">
        <v>179</v>
      </c>
      <c r="C177" s="101">
        <v>1.43</v>
      </c>
      <c r="D177" s="101">
        <v>7.01</v>
      </c>
      <c r="E177" s="101">
        <v>2.79</v>
      </c>
      <c r="F177" s="101">
        <v>11.23</v>
      </c>
      <c r="G177" s="101">
        <v>1.96</v>
      </c>
      <c r="H177" s="101">
        <v>1.64</v>
      </c>
      <c r="I177" s="101">
        <v>0.98</v>
      </c>
      <c r="J177" s="101">
        <v>17</v>
      </c>
      <c r="K177" s="101">
        <v>1.43</v>
      </c>
      <c r="L177" s="101">
        <v>7.01</v>
      </c>
      <c r="M177" s="101">
        <v>2.79</v>
      </c>
      <c r="N177" s="101">
        <v>11.23</v>
      </c>
      <c r="O177" s="101">
        <v>1.96</v>
      </c>
      <c r="P177" s="101">
        <v>1.64</v>
      </c>
      <c r="Q177" s="101">
        <v>0.98</v>
      </c>
      <c r="R177" s="101">
        <v>17</v>
      </c>
    </row>
    <row r="178" ht="16" spans="1:18">
      <c r="A178" s="100">
        <v>4.1</v>
      </c>
      <c r="B178" s="100" t="s">
        <v>180</v>
      </c>
      <c r="C178" s="100">
        <v>0.14</v>
      </c>
      <c r="D178" s="100">
        <v>0.68</v>
      </c>
      <c r="E178" s="100">
        <v>0.27</v>
      </c>
      <c r="F178" s="100">
        <v>1.09</v>
      </c>
      <c r="G178" s="100">
        <v>1.96</v>
      </c>
      <c r="H178" s="100">
        <v>1.64</v>
      </c>
      <c r="I178" s="100">
        <v>0.98</v>
      </c>
      <c r="J178" s="100">
        <v>1.65</v>
      </c>
      <c r="K178" s="100">
        <v>0.14</v>
      </c>
      <c r="L178" s="100">
        <v>0.68</v>
      </c>
      <c r="M178" s="100">
        <v>0.27</v>
      </c>
      <c r="N178" s="100">
        <v>1.09</v>
      </c>
      <c r="O178" s="100">
        <v>1.96</v>
      </c>
      <c r="P178" s="100">
        <v>1.64</v>
      </c>
      <c r="Q178" s="100">
        <v>0.98</v>
      </c>
      <c r="R178" s="100">
        <v>1.65</v>
      </c>
    </row>
    <row r="179" ht="16" spans="1:18">
      <c r="A179" s="100">
        <v>4.2</v>
      </c>
      <c r="B179" s="100" t="s">
        <v>181</v>
      </c>
      <c r="C179" s="100">
        <v>0.14</v>
      </c>
      <c r="D179" s="100">
        <v>0.68</v>
      </c>
      <c r="E179" s="100">
        <v>0.27</v>
      </c>
      <c r="F179" s="100">
        <v>1.09</v>
      </c>
      <c r="G179" s="100">
        <v>1.96</v>
      </c>
      <c r="H179" s="100">
        <v>1.64</v>
      </c>
      <c r="I179" s="100">
        <v>0.98</v>
      </c>
      <c r="J179" s="100">
        <v>1.65</v>
      </c>
      <c r="K179" s="100">
        <v>0.14</v>
      </c>
      <c r="L179" s="100">
        <v>0.68</v>
      </c>
      <c r="M179" s="100">
        <v>0.27</v>
      </c>
      <c r="N179" s="100">
        <v>1.09</v>
      </c>
      <c r="O179" s="100">
        <v>1.96</v>
      </c>
      <c r="P179" s="100">
        <v>1.64</v>
      </c>
      <c r="Q179" s="100">
        <v>0.98</v>
      </c>
      <c r="R179" s="100">
        <v>1.65</v>
      </c>
    </row>
    <row r="180" ht="31" spans="1:18">
      <c r="A180" s="100">
        <v>4.3</v>
      </c>
      <c r="B180" s="100" t="s">
        <v>182</v>
      </c>
      <c r="C180" s="100">
        <v>0.09</v>
      </c>
      <c r="D180" s="100">
        <v>0.45</v>
      </c>
      <c r="E180" s="100">
        <v>0.18</v>
      </c>
      <c r="F180" s="100">
        <v>0.72</v>
      </c>
      <c r="G180" s="100">
        <v>1.96</v>
      </c>
      <c r="H180" s="100">
        <v>1.64</v>
      </c>
      <c r="I180" s="100">
        <v>0.98</v>
      </c>
      <c r="J180" s="100">
        <v>1.09</v>
      </c>
      <c r="K180" s="100">
        <v>0.09</v>
      </c>
      <c r="L180" s="100">
        <v>0.45</v>
      </c>
      <c r="M180" s="100">
        <v>0.18</v>
      </c>
      <c r="N180" s="100">
        <v>0.72</v>
      </c>
      <c r="O180" s="100">
        <v>1.96</v>
      </c>
      <c r="P180" s="100">
        <v>1.64</v>
      </c>
      <c r="Q180" s="100">
        <v>0.98</v>
      </c>
      <c r="R180" s="100">
        <v>1.09</v>
      </c>
    </row>
    <row r="181" ht="31" spans="1:18">
      <c r="A181" s="100">
        <v>4.4</v>
      </c>
      <c r="B181" s="100" t="s">
        <v>183</v>
      </c>
      <c r="C181" s="100">
        <v>0.09</v>
      </c>
      <c r="D181" s="100">
        <v>0.45</v>
      </c>
      <c r="E181" s="100">
        <v>0.18</v>
      </c>
      <c r="F181" s="100">
        <v>0.72</v>
      </c>
      <c r="G181" s="100">
        <v>1.96</v>
      </c>
      <c r="H181" s="100">
        <v>1.64</v>
      </c>
      <c r="I181" s="100">
        <v>0.98</v>
      </c>
      <c r="J181" s="100">
        <v>1.09</v>
      </c>
      <c r="K181" s="100">
        <v>0.09</v>
      </c>
      <c r="L181" s="100">
        <v>0.45</v>
      </c>
      <c r="M181" s="100">
        <v>0.18</v>
      </c>
      <c r="N181" s="100">
        <v>0.72</v>
      </c>
      <c r="O181" s="100">
        <v>1.96</v>
      </c>
      <c r="P181" s="100">
        <v>1.64</v>
      </c>
      <c r="Q181" s="100">
        <v>0.98</v>
      </c>
      <c r="R181" s="100">
        <v>1.09</v>
      </c>
    </row>
    <row r="182" ht="31" spans="1:18">
      <c r="A182" s="100">
        <v>4.5</v>
      </c>
      <c r="B182" s="100" t="s">
        <v>184</v>
      </c>
      <c r="C182" s="100">
        <v>0.09</v>
      </c>
      <c r="D182" s="100">
        <v>0.45</v>
      </c>
      <c r="E182" s="100">
        <v>0.18</v>
      </c>
      <c r="F182" s="100">
        <v>0.72</v>
      </c>
      <c r="G182" s="100">
        <v>1.96</v>
      </c>
      <c r="H182" s="100">
        <v>1.64</v>
      </c>
      <c r="I182" s="100">
        <v>0.98</v>
      </c>
      <c r="J182" s="100">
        <v>1.09</v>
      </c>
      <c r="K182" s="100">
        <v>0.09</v>
      </c>
      <c r="L182" s="100">
        <v>0.45</v>
      </c>
      <c r="M182" s="100">
        <v>0.18</v>
      </c>
      <c r="N182" s="100">
        <v>0.72</v>
      </c>
      <c r="O182" s="100">
        <v>1.96</v>
      </c>
      <c r="P182" s="100">
        <v>1.64</v>
      </c>
      <c r="Q182" s="100">
        <v>0.98</v>
      </c>
      <c r="R182" s="100">
        <v>1.09</v>
      </c>
    </row>
    <row r="183" ht="16" spans="1:18">
      <c r="A183" s="100">
        <v>4.6</v>
      </c>
      <c r="B183" s="100" t="s">
        <v>185</v>
      </c>
      <c r="C183" s="100">
        <v>0.09</v>
      </c>
      <c r="D183" s="100">
        <v>0.45</v>
      </c>
      <c r="E183" s="100">
        <v>0.18</v>
      </c>
      <c r="F183" s="100">
        <v>0.72</v>
      </c>
      <c r="G183" s="100">
        <v>1.96</v>
      </c>
      <c r="H183" s="100">
        <v>1.64</v>
      </c>
      <c r="I183" s="100">
        <v>0.98</v>
      </c>
      <c r="J183" s="100">
        <v>1.09</v>
      </c>
      <c r="K183" s="100">
        <v>0.09</v>
      </c>
      <c r="L183" s="100">
        <v>0.45</v>
      </c>
      <c r="M183" s="100">
        <v>0.18</v>
      </c>
      <c r="N183" s="100">
        <v>0.72</v>
      </c>
      <c r="O183" s="100">
        <v>1.96</v>
      </c>
      <c r="P183" s="100">
        <v>1.64</v>
      </c>
      <c r="Q183" s="100">
        <v>0.98</v>
      </c>
      <c r="R183" s="100">
        <v>1.09</v>
      </c>
    </row>
    <row r="184" ht="16" spans="1:18">
      <c r="A184" s="100">
        <v>4.7</v>
      </c>
      <c r="B184" s="100" t="s">
        <v>186</v>
      </c>
      <c r="C184" s="100">
        <v>0.09</v>
      </c>
      <c r="D184" s="100">
        <v>0.45</v>
      </c>
      <c r="E184" s="100">
        <v>0.18</v>
      </c>
      <c r="F184" s="100">
        <v>0.72</v>
      </c>
      <c r="G184" s="100">
        <v>1.96</v>
      </c>
      <c r="H184" s="100">
        <v>1.64</v>
      </c>
      <c r="I184" s="100">
        <v>0.98</v>
      </c>
      <c r="J184" s="100">
        <v>1.09</v>
      </c>
      <c r="K184" s="100">
        <v>0.09</v>
      </c>
      <c r="L184" s="100">
        <v>0.45</v>
      </c>
      <c r="M184" s="100">
        <v>0.18</v>
      </c>
      <c r="N184" s="100">
        <v>0.72</v>
      </c>
      <c r="O184" s="100">
        <v>1.96</v>
      </c>
      <c r="P184" s="100">
        <v>1.64</v>
      </c>
      <c r="Q184" s="100">
        <v>0.98</v>
      </c>
      <c r="R184" s="100">
        <v>1.09</v>
      </c>
    </row>
    <row r="185" ht="16" spans="1:18">
      <c r="A185" s="100">
        <v>4.8</v>
      </c>
      <c r="B185" s="100" t="s">
        <v>187</v>
      </c>
      <c r="C185" s="100">
        <v>0.14</v>
      </c>
      <c r="D185" s="100">
        <v>0.68</v>
      </c>
      <c r="E185" s="100">
        <v>0.27</v>
      </c>
      <c r="F185" s="100">
        <v>1.09</v>
      </c>
      <c r="G185" s="100">
        <v>1.96</v>
      </c>
      <c r="H185" s="100">
        <v>1.64</v>
      </c>
      <c r="I185" s="100">
        <v>0.98</v>
      </c>
      <c r="J185" s="100">
        <v>1.65</v>
      </c>
      <c r="K185" s="100">
        <v>0.14</v>
      </c>
      <c r="L185" s="100">
        <v>0.68</v>
      </c>
      <c r="M185" s="100">
        <v>0.27</v>
      </c>
      <c r="N185" s="100">
        <v>1.09</v>
      </c>
      <c r="O185" s="100">
        <v>1.96</v>
      </c>
      <c r="P185" s="100">
        <v>1.64</v>
      </c>
      <c r="Q185" s="100">
        <v>0.98</v>
      </c>
      <c r="R185" s="100">
        <v>1.65</v>
      </c>
    </row>
    <row r="186" ht="16" spans="1:18">
      <c r="A186" s="100">
        <v>4.9</v>
      </c>
      <c r="B186" s="100" t="s">
        <v>188</v>
      </c>
      <c r="C186" s="100">
        <v>0.14</v>
      </c>
      <c r="D186" s="100">
        <v>0.68</v>
      </c>
      <c r="E186" s="100">
        <v>0.27</v>
      </c>
      <c r="F186" s="100">
        <v>1.09</v>
      </c>
      <c r="G186" s="100">
        <v>1.96</v>
      </c>
      <c r="H186" s="100">
        <v>1.64</v>
      </c>
      <c r="I186" s="100">
        <v>0.98</v>
      </c>
      <c r="J186" s="100">
        <v>1.65</v>
      </c>
      <c r="K186" s="100">
        <v>0.14</v>
      </c>
      <c r="L186" s="100">
        <v>0.68</v>
      </c>
      <c r="M186" s="100">
        <v>0.27</v>
      </c>
      <c r="N186" s="100">
        <v>1.09</v>
      </c>
      <c r="O186" s="100">
        <v>1.96</v>
      </c>
      <c r="P186" s="100">
        <v>1.64</v>
      </c>
      <c r="Q186" s="100">
        <v>0.98</v>
      </c>
      <c r="R186" s="100">
        <v>1.65</v>
      </c>
    </row>
    <row r="187" ht="16" spans="1:18">
      <c r="A187" s="100">
        <v>5.1</v>
      </c>
      <c r="B187" s="100" t="s">
        <v>189</v>
      </c>
      <c r="C187" s="100">
        <v>0.14</v>
      </c>
      <c r="D187" s="100">
        <v>0.68</v>
      </c>
      <c r="E187" s="100">
        <v>0.27</v>
      </c>
      <c r="F187" s="100">
        <v>1.09</v>
      </c>
      <c r="G187" s="100">
        <v>1.96</v>
      </c>
      <c r="H187" s="100">
        <v>1.64</v>
      </c>
      <c r="I187" s="100">
        <v>0.98</v>
      </c>
      <c r="J187" s="100">
        <v>1.65</v>
      </c>
      <c r="K187" s="100">
        <v>0.14</v>
      </c>
      <c r="L187" s="100">
        <v>0.68</v>
      </c>
      <c r="M187" s="100">
        <v>0.27</v>
      </c>
      <c r="N187" s="100">
        <v>1.09</v>
      </c>
      <c r="O187" s="100">
        <v>1.96</v>
      </c>
      <c r="P187" s="100">
        <v>1.64</v>
      </c>
      <c r="Q187" s="100">
        <v>0.98</v>
      </c>
      <c r="R187" s="100">
        <v>1.65</v>
      </c>
    </row>
    <row r="188" ht="16" spans="1:18">
      <c r="A188" s="100">
        <v>5.11</v>
      </c>
      <c r="B188" s="100" t="s">
        <v>190</v>
      </c>
      <c r="C188" s="100">
        <v>0.14</v>
      </c>
      <c r="D188" s="100">
        <v>0.68</v>
      </c>
      <c r="E188" s="100">
        <v>0.27</v>
      </c>
      <c r="F188" s="100">
        <v>1.09</v>
      </c>
      <c r="G188" s="100">
        <v>1.96</v>
      </c>
      <c r="H188" s="100">
        <v>1.64</v>
      </c>
      <c r="I188" s="100">
        <v>0.98</v>
      </c>
      <c r="J188" s="100">
        <v>1.65</v>
      </c>
      <c r="K188" s="100">
        <v>0.14</v>
      </c>
      <c r="L188" s="100">
        <v>0.68</v>
      </c>
      <c r="M188" s="100">
        <v>0.27</v>
      </c>
      <c r="N188" s="100">
        <v>1.09</v>
      </c>
      <c r="O188" s="100">
        <v>1.96</v>
      </c>
      <c r="P188" s="100">
        <v>1.64</v>
      </c>
      <c r="Q188" s="100">
        <v>0.98</v>
      </c>
      <c r="R188" s="100">
        <v>1.65</v>
      </c>
    </row>
    <row r="189" ht="16" spans="1:18">
      <c r="A189" s="100">
        <v>5.12</v>
      </c>
      <c r="B189" s="100" t="s">
        <v>191</v>
      </c>
      <c r="C189" s="100">
        <v>0.14</v>
      </c>
      <c r="D189" s="100">
        <v>0.68</v>
      </c>
      <c r="E189" s="100">
        <v>0.27</v>
      </c>
      <c r="F189" s="100">
        <v>1.09</v>
      </c>
      <c r="G189" s="100">
        <v>1.96</v>
      </c>
      <c r="H189" s="100">
        <v>1.64</v>
      </c>
      <c r="I189" s="100">
        <v>0.98</v>
      </c>
      <c r="J189" s="100">
        <v>1.65</v>
      </c>
      <c r="K189" s="100">
        <v>0.14</v>
      </c>
      <c r="L189" s="100">
        <v>0.68</v>
      </c>
      <c r="M189" s="100">
        <v>0.27</v>
      </c>
      <c r="N189" s="100">
        <v>1.09</v>
      </c>
      <c r="O189" s="100">
        <v>1.96</v>
      </c>
      <c r="P189" s="100">
        <v>1.64</v>
      </c>
      <c r="Q189" s="100">
        <v>0.98</v>
      </c>
      <c r="R189" s="100">
        <v>1.65</v>
      </c>
    </row>
    <row r="190" ht="16" spans="1:18">
      <c r="A190" s="100">
        <v>6</v>
      </c>
      <c r="B190" s="101" t="s">
        <v>192</v>
      </c>
      <c r="C190" s="101">
        <v>1.17</v>
      </c>
      <c r="D190" s="101">
        <v>5.86</v>
      </c>
      <c r="E190" s="101">
        <v>2.34</v>
      </c>
      <c r="F190" s="101">
        <v>9.37</v>
      </c>
      <c r="G190" s="101">
        <v>1.96</v>
      </c>
      <c r="H190" s="101">
        <v>1.64</v>
      </c>
      <c r="I190" s="101">
        <v>0.98</v>
      </c>
      <c r="J190" s="101">
        <v>14.19</v>
      </c>
      <c r="K190" s="101">
        <v>1.17</v>
      </c>
      <c r="L190" s="101">
        <v>5.86</v>
      </c>
      <c r="M190" s="101">
        <v>2.34</v>
      </c>
      <c r="N190" s="101">
        <v>9.37</v>
      </c>
      <c r="O190" s="101">
        <v>1.96</v>
      </c>
      <c r="P190" s="101">
        <v>1.64</v>
      </c>
      <c r="Q190" s="101">
        <v>0.98</v>
      </c>
      <c r="R190" s="101">
        <v>14.19</v>
      </c>
    </row>
    <row r="191" ht="16" spans="1:18">
      <c r="A191" s="100">
        <v>6.1</v>
      </c>
      <c r="B191" s="100" t="s">
        <v>193</v>
      </c>
      <c r="C191" s="100">
        <v>0.09</v>
      </c>
      <c r="D191" s="100">
        <v>0.45</v>
      </c>
      <c r="E191" s="100">
        <v>0.18</v>
      </c>
      <c r="F191" s="100">
        <v>0.72</v>
      </c>
      <c r="G191" s="100">
        <v>1.96</v>
      </c>
      <c r="H191" s="100">
        <v>1.64</v>
      </c>
      <c r="I191" s="100">
        <v>0.98</v>
      </c>
      <c r="J191" s="100">
        <v>1.09</v>
      </c>
      <c r="K191" s="100">
        <v>0.09</v>
      </c>
      <c r="L191" s="100">
        <v>0.45</v>
      </c>
      <c r="M191" s="100">
        <v>0.18</v>
      </c>
      <c r="N191" s="100">
        <v>0.72</v>
      </c>
      <c r="O191" s="100">
        <v>1.96</v>
      </c>
      <c r="P191" s="100">
        <v>1.64</v>
      </c>
      <c r="Q191" s="100">
        <v>0.98</v>
      </c>
      <c r="R191" s="100">
        <v>1.09</v>
      </c>
    </row>
    <row r="192" ht="16" spans="1:18">
      <c r="A192" s="100">
        <v>6.2</v>
      </c>
      <c r="B192" s="100" t="s">
        <v>194</v>
      </c>
      <c r="C192" s="100">
        <v>0.09</v>
      </c>
      <c r="D192" s="100">
        <v>0.45</v>
      </c>
      <c r="E192" s="100">
        <v>0.18</v>
      </c>
      <c r="F192" s="100">
        <v>0.72</v>
      </c>
      <c r="G192" s="100">
        <v>1.96</v>
      </c>
      <c r="H192" s="100">
        <v>1.64</v>
      </c>
      <c r="I192" s="100">
        <v>0.98</v>
      </c>
      <c r="J192" s="100">
        <v>1.09</v>
      </c>
      <c r="K192" s="100">
        <v>0.09</v>
      </c>
      <c r="L192" s="100">
        <v>0.45</v>
      </c>
      <c r="M192" s="100">
        <v>0.18</v>
      </c>
      <c r="N192" s="100">
        <v>0.72</v>
      </c>
      <c r="O192" s="100">
        <v>1.96</v>
      </c>
      <c r="P192" s="100">
        <v>1.64</v>
      </c>
      <c r="Q192" s="100">
        <v>0.98</v>
      </c>
      <c r="R192" s="100">
        <v>1.09</v>
      </c>
    </row>
    <row r="193" ht="16" spans="1:18">
      <c r="A193" s="100">
        <v>6.3</v>
      </c>
      <c r="B193" s="100" t="s">
        <v>195</v>
      </c>
      <c r="C193" s="100">
        <v>0.09</v>
      </c>
      <c r="D193" s="100">
        <v>0.45</v>
      </c>
      <c r="E193" s="100">
        <v>0.18</v>
      </c>
      <c r="F193" s="100">
        <v>0.72</v>
      </c>
      <c r="G193" s="100">
        <v>1.96</v>
      </c>
      <c r="H193" s="100">
        <v>1.64</v>
      </c>
      <c r="I193" s="100">
        <v>0.98</v>
      </c>
      <c r="J193" s="100">
        <v>1.09</v>
      </c>
      <c r="K193" s="100">
        <v>0.09</v>
      </c>
      <c r="L193" s="100">
        <v>0.45</v>
      </c>
      <c r="M193" s="100">
        <v>0.18</v>
      </c>
      <c r="N193" s="100">
        <v>0.72</v>
      </c>
      <c r="O193" s="100">
        <v>1.96</v>
      </c>
      <c r="P193" s="100">
        <v>1.64</v>
      </c>
      <c r="Q193" s="100">
        <v>0.98</v>
      </c>
      <c r="R193" s="100">
        <v>1.09</v>
      </c>
    </row>
    <row r="194" ht="16" spans="1:18">
      <c r="A194" s="100">
        <v>6.4</v>
      </c>
      <c r="B194" s="100" t="s">
        <v>196</v>
      </c>
      <c r="C194" s="100">
        <v>0.09</v>
      </c>
      <c r="D194" s="100">
        <v>0.45</v>
      </c>
      <c r="E194" s="100">
        <v>0.18</v>
      </c>
      <c r="F194" s="100">
        <v>0.72</v>
      </c>
      <c r="G194" s="100">
        <v>1.96</v>
      </c>
      <c r="H194" s="100">
        <v>1.64</v>
      </c>
      <c r="I194" s="100">
        <v>0.98</v>
      </c>
      <c r="J194" s="100">
        <v>1.09</v>
      </c>
      <c r="K194" s="100">
        <v>0.09</v>
      </c>
      <c r="L194" s="100">
        <v>0.45</v>
      </c>
      <c r="M194" s="100">
        <v>0.18</v>
      </c>
      <c r="N194" s="100">
        <v>0.72</v>
      </c>
      <c r="O194" s="100">
        <v>1.96</v>
      </c>
      <c r="P194" s="100">
        <v>1.64</v>
      </c>
      <c r="Q194" s="100">
        <v>0.98</v>
      </c>
      <c r="R194" s="100">
        <v>1.09</v>
      </c>
    </row>
    <row r="195" ht="16" spans="1:18">
      <c r="A195" s="100">
        <v>6.5</v>
      </c>
      <c r="B195" s="100" t="s">
        <v>197</v>
      </c>
      <c r="C195" s="100">
        <v>0.09</v>
      </c>
      <c r="D195" s="100">
        <v>0.45</v>
      </c>
      <c r="E195" s="100">
        <v>0.18</v>
      </c>
      <c r="F195" s="100">
        <v>0.72</v>
      </c>
      <c r="G195" s="100">
        <v>1.96</v>
      </c>
      <c r="H195" s="100">
        <v>1.64</v>
      </c>
      <c r="I195" s="100">
        <v>0.98</v>
      </c>
      <c r="J195" s="100">
        <v>1.09</v>
      </c>
      <c r="K195" s="100">
        <v>0.09</v>
      </c>
      <c r="L195" s="100">
        <v>0.45</v>
      </c>
      <c r="M195" s="100">
        <v>0.18</v>
      </c>
      <c r="N195" s="100">
        <v>0.72</v>
      </c>
      <c r="O195" s="100">
        <v>1.96</v>
      </c>
      <c r="P195" s="100">
        <v>1.64</v>
      </c>
      <c r="Q195" s="100">
        <v>0.98</v>
      </c>
      <c r="R195" s="100">
        <v>1.09</v>
      </c>
    </row>
    <row r="196" ht="16" spans="1:18">
      <c r="A196" s="100">
        <v>6.6</v>
      </c>
      <c r="B196" s="100" t="s">
        <v>198</v>
      </c>
      <c r="C196" s="100">
        <v>0.09</v>
      </c>
      <c r="D196" s="100">
        <v>0.45</v>
      </c>
      <c r="E196" s="100">
        <v>0.18</v>
      </c>
      <c r="F196" s="100">
        <v>0.72</v>
      </c>
      <c r="G196" s="100">
        <v>1.96</v>
      </c>
      <c r="H196" s="100">
        <v>1.64</v>
      </c>
      <c r="I196" s="100">
        <v>0.98</v>
      </c>
      <c r="J196" s="100">
        <v>1.09</v>
      </c>
      <c r="K196" s="100">
        <v>0.09</v>
      </c>
      <c r="L196" s="100">
        <v>0.45</v>
      </c>
      <c r="M196" s="100">
        <v>0.18</v>
      </c>
      <c r="N196" s="100">
        <v>0.72</v>
      </c>
      <c r="O196" s="100">
        <v>1.96</v>
      </c>
      <c r="P196" s="100">
        <v>1.64</v>
      </c>
      <c r="Q196" s="100">
        <v>0.98</v>
      </c>
      <c r="R196" s="100">
        <v>1.09</v>
      </c>
    </row>
    <row r="197" ht="16" spans="1:18">
      <c r="A197" s="100">
        <v>6.7</v>
      </c>
      <c r="B197" s="100" t="s">
        <v>199</v>
      </c>
      <c r="C197" s="100">
        <v>0.09</v>
      </c>
      <c r="D197" s="100">
        <v>0.45</v>
      </c>
      <c r="E197" s="100">
        <v>0.18</v>
      </c>
      <c r="F197" s="100">
        <v>0.72</v>
      </c>
      <c r="G197" s="100">
        <v>1.96</v>
      </c>
      <c r="H197" s="100">
        <v>1.64</v>
      </c>
      <c r="I197" s="100">
        <v>0.98</v>
      </c>
      <c r="J197" s="100">
        <v>1.09</v>
      </c>
      <c r="K197" s="100">
        <v>0.09</v>
      </c>
      <c r="L197" s="100">
        <v>0.45</v>
      </c>
      <c r="M197" s="100">
        <v>0.18</v>
      </c>
      <c r="N197" s="100">
        <v>0.72</v>
      </c>
      <c r="O197" s="100">
        <v>1.96</v>
      </c>
      <c r="P197" s="100">
        <v>1.64</v>
      </c>
      <c r="Q197" s="100">
        <v>0.98</v>
      </c>
      <c r="R197" s="100">
        <v>1.09</v>
      </c>
    </row>
    <row r="198" ht="16" spans="1:18">
      <c r="A198" s="100">
        <v>6.8</v>
      </c>
      <c r="B198" s="100" t="s">
        <v>200</v>
      </c>
      <c r="C198" s="100">
        <v>0.09</v>
      </c>
      <c r="D198" s="100">
        <v>0.45</v>
      </c>
      <c r="E198" s="100">
        <v>0.18</v>
      </c>
      <c r="F198" s="100">
        <v>0.72</v>
      </c>
      <c r="G198" s="100">
        <v>1.96</v>
      </c>
      <c r="H198" s="100">
        <v>1.64</v>
      </c>
      <c r="I198" s="100">
        <v>0.98</v>
      </c>
      <c r="J198" s="100">
        <v>1.09</v>
      </c>
      <c r="K198" s="100">
        <v>0.09</v>
      </c>
      <c r="L198" s="100">
        <v>0.45</v>
      </c>
      <c r="M198" s="100">
        <v>0.18</v>
      </c>
      <c r="N198" s="100">
        <v>0.72</v>
      </c>
      <c r="O198" s="100">
        <v>1.96</v>
      </c>
      <c r="P198" s="100">
        <v>1.64</v>
      </c>
      <c r="Q198" s="100">
        <v>0.98</v>
      </c>
      <c r="R198" s="100">
        <v>1.09</v>
      </c>
    </row>
    <row r="199" ht="16" spans="1:18">
      <c r="A199" s="100">
        <v>6.9</v>
      </c>
      <c r="B199" s="100" t="s">
        <v>201</v>
      </c>
      <c r="C199" s="100">
        <v>0.09</v>
      </c>
      <c r="D199" s="100">
        <v>0.45</v>
      </c>
      <c r="E199" s="100">
        <v>0.18</v>
      </c>
      <c r="F199" s="100">
        <v>0.72</v>
      </c>
      <c r="G199" s="100">
        <v>1.96</v>
      </c>
      <c r="H199" s="100">
        <v>1.64</v>
      </c>
      <c r="I199" s="100">
        <v>0.98</v>
      </c>
      <c r="J199" s="100">
        <v>1.09</v>
      </c>
      <c r="K199" s="100">
        <v>0.09</v>
      </c>
      <c r="L199" s="100">
        <v>0.45</v>
      </c>
      <c r="M199" s="100">
        <v>0.18</v>
      </c>
      <c r="N199" s="100">
        <v>0.72</v>
      </c>
      <c r="O199" s="100">
        <v>1.96</v>
      </c>
      <c r="P199" s="100">
        <v>1.64</v>
      </c>
      <c r="Q199" s="100">
        <v>0.98</v>
      </c>
      <c r="R199" s="100">
        <v>1.09</v>
      </c>
    </row>
    <row r="200" ht="16" customHeight="1" spans="1:18">
      <c r="A200" s="100">
        <v>7.1</v>
      </c>
      <c r="B200" s="100" t="s">
        <v>202</v>
      </c>
      <c r="C200" s="100">
        <v>0.09</v>
      </c>
      <c r="D200" s="100">
        <v>0.45</v>
      </c>
      <c r="E200" s="100">
        <v>0.18</v>
      </c>
      <c r="F200" s="100">
        <v>0.72</v>
      </c>
      <c r="G200" s="100">
        <v>1.96</v>
      </c>
      <c r="H200" s="100">
        <v>1.64</v>
      </c>
      <c r="I200" s="100">
        <v>0.98</v>
      </c>
      <c r="J200" s="100">
        <v>1.09</v>
      </c>
      <c r="K200" s="100">
        <v>0.09</v>
      </c>
      <c r="L200" s="100">
        <v>0.45</v>
      </c>
      <c r="M200" s="100">
        <v>0.18</v>
      </c>
      <c r="N200" s="100">
        <v>0.72</v>
      </c>
      <c r="O200" s="100">
        <v>1.96</v>
      </c>
      <c r="P200" s="100">
        <v>1.64</v>
      </c>
      <c r="Q200" s="100">
        <v>0.98</v>
      </c>
      <c r="R200" s="100">
        <v>1.09</v>
      </c>
    </row>
    <row r="201" ht="16" spans="1:18">
      <c r="A201" s="100">
        <v>7.11</v>
      </c>
      <c r="B201" s="100" t="s">
        <v>203</v>
      </c>
      <c r="C201" s="100">
        <v>0.09</v>
      </c>
      <c r="D201" s="100">
        <v>0.45</v>
      </c>
      <c r="E201" s="100">
        <v>0.18</v>
      </c>
      <c r="F201" s="100">
        <v>0.72</v>
      </c>
      <c r="G201" s="100">
        <v>1.96</v>
      </c>
      <c r="H201" s="100">
        <v>1.64</v>
      </c>
      <c r="I201" s="100">
        <v>0.98</v>
      </c>
      <c r="J201" s="100">
        <v>1.09</v>
      </c>
      <c r="K201" s="100">
        <v>0.09</v>
      </c>
      <c r="L201" s="100">
        <v>0.45</v>
      </c>
      <c r="M201" s="100">
        <v>0.18</v>
      </c>
      <c r="N201" s="100">
        <v>0.72</v>
      </c>
      <c r="O201" s="100">
        <v>1.96</v>
      </c>
      <c r="P201" s="100">
        <v>1.64</v>
      </c>
      <c r="Q201" s="100">
        <v>0.98</v>
      </c>
      <c r="R201" s="100">
        <v>1.09</v>
      </c>
    </row>
    <row r="202" ht="16" spans="1:18">
      <c r="A202" s="100">
        <v>7.12</v>
      </c>
      <c r="B202" s="100" t="s">
        <v>204</v>
      </c>
      <c r="C202" s="100">
        <v>0.18</v>
      </c>
      <c r="D202" s="100">
        <v>0.91</v>
      </c>
      <c r="E202" s="100">
        <v>0.36</v>
      </c>
      <c r="F202" s="100">
        <v>1.45</v>
      </c>
      <c r="G202" s="100">
        <v>1.96</v>
      </c>
      <c r="H202" s="100">
        <v>1.64</v>
      </c>
      <c r="I202" s="100">
        <v>0.98</v>
      </c>
      <c r="J202" s="100">
        <v>2.2</v>
      </c>
      <c r="K202" s="100">
        <v>0.18</v>
      </c>
      <c r="L202" s="100">
        <v>0.91</v>
      </c>
      <c r="M202" s="100">
        <v>0.36</v>
      </c>
      <c r="N202" s="100">
        <v>1.45</v>
      </c>
      <c r="O202" s="100">
        <v>1.96</v>
      </c>
      <c r="P202" s="100">
        <v>1.64</v>
      </c>
      <c r="Q202" s="100">
        <v>0.98</v>
      </c>
      <c r="R202" s="100">
        <v>2.2</v>
      </c>
    </row>
    <row r="203" ht="16" spans="1:18">
      <c r="A203" s="100">
        <v>8</v>
      </c>
      <c r="B203" s="101" t="s">
        <v>132</v>
      </c>
      <c r="C203" s="101">
        <v>0.42</v>
      </c>
      <c r="D203" s="101">
        <v>2.04</v>
      </c>
      <c r="E203" s="101">
        <v>0.81</v>
      </c>
      <c r="F203" s="101">
        <v>3.27</v>
      </c>
      <c r="G203" s="101">
        <v>1.96</v>
      </c>
      <c r="H203" s="101">
        <v>1.64</v>
      </c>
      <c r="I203" s="101">
        <v>0.98</v>
      </c>
      <c r="J203" s="101">
        <v>4.95</v>
      </c>
      <c r="K203" s="101">
        <v>0.42</v>
      </c>
      <c r="L203" s="101">
        <v>2.04</v>
      </c>
      <c r="M203" s="101">
        <v>0.81</v>
      </c>
      <c r="N203" s="101">
        <v>3.27</v>
      </c>
      <c r="O203" s="101">
        <v>1.96</v>
      </c>
      <c r="P203" s="101">
        <v>1.64</v>
      </c>
      <c r="Q203" s="101">
        <v>0.98</v>
      </c>
      <c r="R203" s="101">
        <v>4.95</v>
      </c>
    </row>
    <row r="204" ht="16" spans="1:18">
      <c r="A204" s="100">
        <v>8.1</v>
      </c>
      <c r="B204" s="100" t="s">
        <v>205</v>
      </c>
      <c r="C204" s="100">
        <v>0.14</v>
      </c>
      <c r="D204" s="100">
        <v>0.68</v>
      </c>
      <c r="E204" s="100">
        <v>0.27</v>
      </c>
      <c r="F204" s="100">
        <v>1.09</v>
      </c>
      <c r="G204" s="100">
        <v>1.96</v>
      </c>
      <c r="H204" s="100">
        <v>1.64</v>
      </c>
      <c r="I204" s="100">
        <v>0.98</v>
      </c>
      <c r="J204" s="100">
        <v>1.65</v>
      </c>
      <c r="K204" s="100">
        <v>0.14</v>
      </c>
      <c r="L204" s="100">
        <v>0.68</v>
      </c>
      <c r="M204" s="100">
        <v>0.27</v>
      </c>
      <c r="N204" s="100">
        <v>1.09</v>
      </c>
      <c r="O204" s="100">
        <v>1.96</v>
      </c>
      <c r="P204" s="100">
        <v>1.64</v>
      </c>
      <c r="Q204" s="100">
        <v>0.98</v>
      </c>
      <c r="R204" s="100">
        <v>1.65</v>
      </c>
    </row>
    <row r="205" ht="16" spans="1:18">
      <c r="A205" s="100">
        <v>8.2</v>
      </c>
      <c r="B205" s="100" t="s">
        <v>206</v>
      </c>
      <c r="C205" s="100">
        <v>0.14</v>
      </c>
      <c r="D205" s="100">
        <v>0.68</v>
      </c>
      <c r="E205" s="100">
        <v>0.27</v>
      </c>
      <c r="F205" s="100">
        <v>1.09</v>
      </c>
      <c r="G205" s="100">
        <v>1.96</v>
      </c>
      <c r="H205" s="100">
        <v>1.64</v>
      </c>
      <c r="I205" s="100">
        <v>0.98</v>
      </c>
      <c r="J205" s="100">
        <v>1.65</v>
      </c>
      <c r="K205" s="100">
        <v>0.14</v>
      </c>
      <c r="L205" s="100">
        <v>0.68</v>
      </c>
      <c r="M205" s="100">
        <v>0.27</v>
      </c>
      <c r="N205" s="100">
        <v>1.09</v>
      </c>
      <c r="O205" s="100">
        <v>1.96</v>
      </c>
      <c r="P205" s="100">
        <v>1.64</v>
      </c>
      <c r="Q205" s="100">
        <v>0.98</v>
      </c>
      <c r="R205" s="100">
        <v>1.65</v>
      </c>
    </row>
    <row r="206" ht="16" spans="1:18">
      <c r="A206" s="100">
        <v>8.3</v>
      </c>
      <c r="B206" s="100" t="s">
        <v>207</v>
      </c>
      <c r="C206" s="100">
        <v>0.14</v>
      </c>
      <c r="D206" s="100">
        <v>0.68</v>
      </c>
      <c r="E206" s="100">
        <v>0.27</v>
      </c>
      <c r="F206" s="100">
        <v>1.09</v>
      </c>
      <c r="G206" s="100">
        <v>1.96</v>
      </c>
      <c r="H206" s="100">
        <v>1.64</v>
      </c>
      <c r="I206" s="100">
        <v>0.98</v>
      </c>
      <c r="J206" s="100">
        <v>1.65</v>
      </c>
      <c r="K206" s="100">
        <v>0.14</v>
      </c>
      <c r="L206" s="100">
        <v>0.68</v>
      </c>
      <c r="M206" s="100">
        <v>0.27</v>
      </c>
      <c r="N206" s="100">
        <v>1.09</v>
      </c>
      <c r="O206" s="100">
        <v>1.96</v>
      </c>
      <c r="P206" s="100">
        <v>1.64</v>
      </c>
      <c r="Q206" s="100">
        <v>0.98</v>
      </c>
      <c r="R206" s="100">
        <v>1.65</v>
      </c>
    </row>
    <row r="207" spans="1:18">
      <c r="A207" s="100" t="s">
        <v>208</v>
      </c>
      <c r="B207" s="101" t="s">
        <v>209</v>
      </c>
      <c r="C207" s="101">
        <v>0.7</v>
      </c>
      <c r="D207" s="101">
        <v>3.22</v>
      </c>
      <c r="E207" s="101">
        <v>1.26</v>
      </c>
      <c r="F207" s="101">
        <v>5.18</v>
      </c>
      <c r="G207" s="101">
        <v>1.96</v>
      </c>
      <c r="H207" s="101">
        <v>1.64</v>
      </c>
      <c r="I207" s="101">
        <v>0.98</v>
      </c>
      <c r="J207" s="101">
        <v>26.02</v>
      </c>
      <c r="K207" s="101">
        <v>0.7</v>
      </c>
      <c r="L207" s="101">
        <v>3.22</v>
      </c>
      <c r="M207" s="101">
        <v>1.26</v>
      </c>
      <c r="N207" s="101">
        <v>5.18</v>
      </c>
      <c r="O207" s="101">
        <v>1.96</v>
      </c>
      <c r="P207" s="101">
        <v>1.64</v>
      </c>
      <c r="Q207" s="101">
        <v>0.98</v>
      </c>
      <c r="R207" s="101">
        <v>26.02</v>
      </c>
    </row>
    <row r="208" spans="1:18">
      <c r="A208" s="100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</row>
    <row r="209" ht="16" spans="1:18">
      <c r="A209" s="100">
        <v>1</v>
      </c>
      <c r="B209" s="101" t="s">
        <v>210</v>
      </c>
      <c r="C209" s="101">
        <v>0.3</v>
      </c>
      <c r="D209" s="101">
        <v>1.38</v>
      </c>
      <c r="E209" s="101">
        <v>0.54</v>
      </c>
      <c r="F209" s="101">
        <v>2.22</v>
      </c>
      <c r="G209" s="101">
        <v>1.96</v>
      </c>
      <c r="H209" s="101">
        <v>1.64</v>
      </c>
      <c r="I209" s="101">
        <v>0.98</v>
      </c>
      <c r="J209" s="101">
        <v>3.36</v>
      </c>
      <c r="K209" s="101">
        <v>0.3</v>
      </c>
      <c r="L209" s="101">
        <v>1.38</v>
      </c>
      <c r="M209" s="101">
        <v>0.54</v>
      </c>
      <c r="N209" s="101">
        <v>2.22</v>
      </c>
      <c r="O209" s="101">
        <v>1.96</v>
      </c>
      <c r="P209" s="101">
        <v>1.64</v>
      </c>
      <c r="Q209" s="101">
        <v>0.98</v>
      </c>
      <c r="R209" s="101">
        <v>3.36</v>
      </c>
    </row>
    <row r="210" ht="16" spans="1:18">
      <c r="A210" s="100">
        <v>1.1</v>
      </c>
      <c r="B210" s="100" t="s">
        <v>211</v>
      </c>
      <c r="C210" s="100">
        <v>0.05</v>
      </c>
      <c r="D210" s="100">
        <v>0.23</v>
      </c>
      <c r="E210" s="100">
        <v>0.09</v>
      </c>
      <c r="F210" s="100">
        <v>0.37</v>
      </c>
      <c r="G210" s="100">
        <v>1.96</v>
      </c>
      <c r="H210" s="100">
        <v>1.64</v>
      </c>
      <c r="I210" s="100">
        <v>0.98</v>
      </c>
      <c r="J210" s="100">
        <v>0.56</v>
      </c>
      <c r="K210" s="100">
        <v>0.05</v>
      </c>
      <c r="L210" s="100">
        <v>0.23</v>
      </c>
      <c r="M210" s="100">
        <v>0.09</v>
      </c>
      <c r="N210" s="100">
        <v>0.37</v>
      </c>
      <c r="O210" s="100">
        <v>1.96</v>
      </c>
      <c r="P210" s="100">
        <v>1.64</v>
      </c>
      <c r="Q210" s="100">
        <v>0.98</v>
      </c>
      <c r="R210" s="100">
        <v>0.56</v>
      </c>
    </row>
    <row r="211" ht="16" spans="1:18">
      <c r="A211" s="100">
        <v>1.2</v>
      </c>
      <c r="B211" s="100" t="s">
        <v>212</v>
      </c>
      <c r="C211" s="100">
        <v>0.05</v>
      </c>
      <c r="D211" s="100">
        <v>0.23</v>
      </c>
      <c r="E211" s="100">
        <v>0.09</v>
      </c>
      <c r="F211" s="100">
        <v>0.37</v>
      </c>
      <c r="G211" s="100">
        <v>1.96</v>
      </c>
      <c r="H211" s="100">
        <v>1.64</v>
      </c>
      <c r="I211" s="100">
        <v>0.98</v>
      </c>
      <c r="J211" s="100">
        <v>0.56</v>
      </c>
      <c r="K211" s="100">
        <v>0.05</v>
      </c>
      <c r="L211" s="100">
        <v>0.23</v>
      </c>
      <c r="M211" s="100">
        <v>0.09</v>
      </c>
      <c r="N211" s="100">
        <v>0.37</v>
      </c>
      <c r="O211" s="100">
        <v>1.96</v>
      </c>
      <c r="P211" s="100">
        <v>1.64</v>
      </c>
      <c r="Q211" s="100">
        <v>0.98</v>
      </c>
      <c r="R211" s="100">
        <v>0.56</v>
      </c>
    </row>
    <row r="212" ht="16" spans="1:18">
      <c r="A212" s="100">
        <v>1.3</v>
      </c>
      <c r="B212" s="100" t="s">
        <v>213</v>
      </c>
      <c r="C212" s="100">
        <v>0.05</v>
      </c>
      <c r="D212" s="100">
        <v>0.23</v>
      </c>
      <c r="E212" s="100">
        <v>0.09</v>
      </c>
      <c r="F212" s="100">
        <v>0.37</v>
      </c>
      <c r="G212" s="100">
        <v>1.96</v>
      </c>
      <c r="H212" s="100">
        <v>1.64</v>
      </c>
      <c r="I212" s="100">
        <v>0.98</v>
      </c>
      <c r="J212" s="100">
        <v>0.56</v>
      </c>
      <c r="K212" s="100">
        <v>0.05</v>
      </c>
      <c r="L212" s="100">
        <v>0.23</v>
      </c>
      <c r="M212" s="100">
        <v>0.09</v>
      </c>
      <c r="N212" s="100">
        <v>0.37</v>
      </c>
      <c r="O212" s="100">
        <v>1.96</v>
      </c>
      <c r="P212" s="100">
        <v>1.64</v>
      </c>
      <c r="Q212" s="100">
        <v>0.98</v>
      </c>
      <c r="R212" s="100">
        <v>0.56</v>
      </c>
    </row>
    <row r="213" ht="16" spans="1:18">
      <c r="A213" s="100">
        <v>1.4</v>
      </c>
      <c r="B213" s="100" t="s">
        <v>214</v>
      </c>
      <c r="C213" s="100">
        <v>0.05</v>
      </c>
      <c r="D213" s="100">
        <v>0.23</v>
      </c>
      <c r="E213" s="100">
        <v>0.09</v>
      </c>
      <c r="F213" s="100">
        <v>0.37</v>
      </c>
      <c r="G213" s="100">
        <v>1.96</v>
      </c>
      <c r="H213" s="100">
        <v>1.64</v>
      </c>
      <c r="I213" s="100">
        <v>0.98</v>
      </c>
      <c r="J213" s="100">
        <v>0.56</v>
      </c>
      <c r="K213" s="100">
        <v>0.05</v>
      </c>
      <c r="L213" s="100">
        <v>0.23</v>
      </c>
      <c r="M213" s="100">
        <v>0.09</v>
      </c>
      <c r="N213" s="100">
        <v>0.37</v>
      </c>
      <c r="O213" s="100">
        <v>1.96</v>
      </c>
      <c r="P213" s="100">
        <v>1.64</v>
      </c>
      <c r="Q213" s="100">
        <v>0.98</v>
      </c>
      <c r="R213" s="100">
        <v>0.56</v>
      </c>
    </row>
    <row r="214" ht="16" spans="1:18">
      <c r="A214" s="100">
        <v>1.5</v>
      </c>
      <c r="B214" s="100" t="s">
        <v>215</v>
      </c>
      <c r="C214" s="100">
        <v>0.05</v>
      </c>
      <c r="D214" s="100">
        <v>0.23</v>
      </c>
      <c r="E214" s="100">
        <v>0.09</v>
      </c>
      <c r="F214" s="100">
        <v>0.37</v>
      </c>
      <c r="G214" s="100">
        <v>1.96</v>
      </c>
      <c r="H214" s="100">
        <v>1.64</v>
      </c>
      <c r="I214" s="100">
        <v>0.98</v>
      </c>
      <c r="J214" s="100">
        <v>0.56</v>
      </c>
      <c r="K214" s="100">
        <v>0.05</v>
      </c>
      <c r="L214" s="100">
        <v>0.23</v>
      </c>
      <c r="M214" s="100">
        <v>0.09</v>
      </c>
      <c r="N214" s="100">
        <v>0.37</v>
      </c>
      <c r="O214" s="100">
        <v>1.96</v>
      </c>
      <c r="P214" s="100">
        <v>1.64</v>
      </c>
      <c r="Q214" s="100">
        <v>0.98</v>
      </c>
      <c r="R214" s="100">
        <v>0.56</v>
      </c>
    </row>
    <row r="215" ht="16" spans="1:18">
      <c r="A215" s="100">
        <v>1.6</v>
      </c>
      <c r="B215" s="100" t="s">
        <v>216</v>
      </c>
      <c r="C215" s="100">
        <v>0.05</v>
      </c>
      <c r="D215" s="100">
        <v>0.23</v>
      </c>
      <c r="E215" s="100">
        <v>0.09</v>
      </c>
      <c r="F215" s="100">
        <v>0.37</v>
      </c>
      <c r="G215" s="100">
        <v>1.96</v>
      </c>
      <c r="H215" s="100">
        <v>1.64</v>
      </c>
      <c r="I215" s="100">
        <v>0.98</v>
      </c>
      <c r="J215" s="100">
        <v>0.56</v>
      </c>
      <c r="K215" s="100">
        <v>0.05</v>
      </c>
      <c r="L215" s="100">
        <v>0.23</v>
      </c>
      <c r="M215" s="100">
        <v>0.09</v>
      </c>
      <c r="N215" s="100">
        <v>0.37</v>
      </c>
      <c r="O215" s="100">
        <v>1.96</v>
      </c>
      <c r="P215" s="100">
        <v>1.64</v>
      </c>
      <c r="Q215" s="100">
        <v>0.98</v>
      </c>
      <c r="R215" s="100">
        <v>0.56</v>
      </c>
    </row>
    <row r="216" ht="16" spans="1:18">
      <c r="A216" s="100">
        <v>2</v>
      </c>
      <c r="B216" s="101" t="s">
        <v>217</v>
      </c>
      <c r="C216" s="101">
        <v>0.25</v>
      </c>
      <c r="D216" s="101">
        <v>1.15</v>
      </c>
      <c r="E216" s="101">
        <v>0.45</v>
      </c>
      <c r="F216" s="101">
        <v>1.85</v>
      </c>
      <c r="G216" s="101">
        <v>1.96</v>
      </c>
      <c r="H216" s="101">
        <v>1.64</v>
      </c>
      <c r="I216" s="101">
        <v>0.98</v>
      </c>
      <c r="J216" s="101">
        <v>2.8</v>
      </c>
      <c r="K216" s="101">
        <v>0.25</v>
      </c>
      <c r="L216" s="101">
        <v>1.15</v>
      </c>
      <c r="M216" s="101">
        <v>0.45</v>
      </c>
      <c r="N216" s="101">
        <v>1.85</v>
      </c>
      <c r="O216" s="101">
        <v>1.96</v>
      </c>
      <c r="P216" s="101">
        <v>1.64</v>
      </c>
      <c r="Q216" s="101">
        <v>0.98</v>
      </c>
      <c r="R216" s="101">
        <v>2.8</v>
      </c>
    </row>
  </sheetData>
  <mergeCells count="43">
    <mergeCell ref="C1:J1"/>
    <mergeCell ref="K1:U1"/>
    <mergeCell ref="C2:F2"/>
    <mergeCell ref="G2:I2"/>
    <mergeCell ref="K2:N2"/>
    <mergeCell ref="O2:Q2"/>
    <mergeCell ref="A1:A3"/>
    <mergeCell ref="A144:A145"/>
    <mergeCell ref="A207:A208"/>
    <mergeCell ref="B1:B3"/>
    <mergeCell ref="B207:B208"/>
    <mergeCell ref="C144:C145"/>
    <mergeCell ref="C207:C208"/>
    <mergeCell ref="D144:D145"/>
    <mergeCell ref="D207:D208"/>
    <mergeCell ref="E144:E145"/>
    <mergeCell ref="E207:E208"/>
    <mergeCell ref="F144:F145"/>
    <mergeCell ref="F207:F208"/>
    <mergeCell ref="G144:G145"/>
    <mergeCell ref="G207:G208"/>
    <mergeCell ref="H144:H145"/>
    <mergeCell ref="H207:H208"/>
    <mergeCell ref="I144:I145"/>
    <mergeCell ref="I207:I208"/>
    <mergeCell ref="J144:J145"/>
    <mergeCell ref="J207:J208"/>
    <mergeCell ref="K144:K145"/>
    <mergeCell ref="K207:K208"/>
    <mergeCell ref="L144:L145"/>
    <mergeCell ref="L207:L208"/>
    <mergeCell ref="M144:M145"/>
    <mergeCell ref="M207:M208"/>
    <mergeCell ref="N144:N145"/>
    <mergeCell ref="N207:N208"/>
    <mergeCell ref="O144:O145"/>
    <mergeCell ref="O207:O208"/>
    <mergeCell ref="P144:P145"/>
    <mergeCell ref="P207:P208"/>
    <mergeCell ref="Q144:Q145"/>
    <mergeCell ref="Q207:Q208"/>
    <mergeCell ref="R144:R145"/>
    <mergeCell ref="R207:R20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tabSelected="1" zoomScale="115" zoomScaleNormal="115" workbookViewId="0">
      <selection activeCell="K8" sqref="K8:K10"/>
    </sheetView>
  </sheetViews>
  <sheetFormatPr defaultColWidth="9" defaultRowHeight="17" customHeight="1"/>
  <cols>
    <col min="3" max="3" width="11.4107142857143" customWidth="1"/>
    <col min="4" max="4" width="29.4107142857143" customWidth="1"/>
    <col min="6" max="6" width="8.75" customWidth="1"/>
    <col min="8" max="8" width="8.66071428571429" style="43"/>
    <col min="11" max="11" width="19.6607142857143" customWidth="1"/>
    <col min="12" max="12" width="20.75" customWidth="1"/>
    <col min="14" max="14" width="29.75" customWidth="1"/>
  </cols>
  <sheetData>
    <row r="1" customHeight="1" spans="1:14">
      <c r="A1" s="44" t="s">
        <v>0</v>
      </c>
      <c r="B1" s="45" t="s">
        <v>218</v>
      </c>
      <c r="C1" s="45" t="s">
        <v>219</v>
      </c>
      <c r="D1" s="46" t="s">
        <v>220</v>
      </c>
      <c r="E1" s="45" t="s">
        <v>221</v>
      </c>
      <c r="F1" s="45" t="s">
        <v>222</v>
      </c>
      <c r="G1" s="45"/>
      <c r="H1" s="47" t="s">
        <v>223</v>
      </c>
      <c r="I1" s="45" t="s">
        <v>224</v>
      </c>
      <c r="K1" s="2"/>
      <c r="L1" s="3"/>
      <c r="M1" s="3"/>
      <c r="N1" s="4"/>
    </row>
    <row r="2" customHeight="1" spans="1:14">
      <c r="A2" s="44"/>
      <c r="B2" s="45"/>
      <c r="C2" s="45"/>
      <c r="D2" s="46"/>
      <c r="E2" s="45"/>
      <c r="F2" s="48" t="s">
        <v>223</v>
      </c>
      <c r="G2" s="45" t="s">
        <v>225</v>
      </c>
      <c r="H2" s="47"/>
      <c r="I2" s="45"/>
      <c r="K2" s="49" t="s">
        <v>226</v>
      </c>
      <c r="L2" s="49" t="s">
        <v>227</v>
      </c>
      <c r="M2" s="49" t="s">
        <v>228</v>
      </c>
      <c r="N2" s="49" t="s">
        <v>229</v>
      </c>
    </row>
    <row r="3" customHeight="1" spans="1:14">
      <c r="A3" s="50" t="s">
        <v>18</v>
      </c>
      <c r="B3" s="51" t="s">
        <v>17</v>
      </c>
      <c r="C3" s="51"/>
      <c r="D3" s="52"/>
      <c r="E3" s="51"/>
      <c r="F3" s="53">
        <f>SUM(F4:F106)</f>
        <v>301</v>
      </c>
      <c r="G3" s="51"/>
      <c r="H3" s="54">
        <f>SUM(H4:H106)</f>
        <v>100.333333333333</v>
      </c>
      <c r="I3" s="51"/>
      <c r="K3" s="55" t="s">
        <v>230</v>
      </c>
      <c r="L3" s="56"/>
      <c r="M3" s="57">
        <f>F3</f>
        <v>301</v>
      </c>
      <c r="N3" s="56"/>
    </row>
    <row r="4" customHeight="1" spans="1:14">
      <c r="A4" s="58"/>
      <c r="B4" s="59"/>
      <c r="C4" s="60"/>
      <c r="D4" s="61"/>
      <c r="E4" s="62" t="s">
        <v>231</v>
      </c>
      <c r="F4" s="62">
        <v>5</v>
      </c>
      <c r="G4" s="63">
        <v>1</v>
      </c>
      <c r="H4" s="64">
        <f t="shared" ref="H4:H61" si="0">F4*G4/3*I4</f>
        <v>1.66666666666667</v>
      </c>
      <c r="I4" s="63">
        <v>1</v>
      </c>
      <c r="K4" s="55" t="s">
        <v>232</v>
      </c>
      <c r="L4" s="56"/>
      <c r="M4" s="57">
        <f>H3</f>
        <v>100.333333333333</v>
      </c>
      <c r="N4" s="56"/>
    </row>
    <row r="5" customHeight="1" spans="1:14">
      <c r="A5" s="58"/>
      <c r="B5" s="59"/>
      <c r="C5" s="65"/>
      <c r="D5" s="66"/>
      <c r="E5" s="62" t="s">
        <v>233</v>
      </c>
      <c r="F5" s="62">
        <v>10</v>
      </c>
      <c r="G5" s="63">
        <v>1</v>
      </c>
      <c r="H5" s="64">
        <f t="shared" si="0"/>
        <v>3.33333333333333</v>
      </c>
      <c r="I5" s="63">
        <v>1</v>
      </c>
      <c r="K5" s="55" t="s">
        <v>234</v>
      </c>
      <c r="L5" s="56"/>
      <c r="M5" s="67">
        <v>1.39</v>
      </c>
      <c r="N5" s="56"/>
    </row>
    <row r="6" customHeight="1" spans="1:14">
      <c r="A6" s="58"/>
      <c r="B6" s="59"/>
      <c r="C6" s="68"/>
      <c r="D6" s="66"/>
      <c r="E6" s="62" t="s">
        <v>233</v>
      </c>
      <c r="F6" s="62">
        <v>10</v>
      </c>
      <c r="G6" s="63">
        <v>1</v>
      </c>
      <c r="H6" s="64">
        <f t="shared" si="0"/>
        <v>3.33333333333333</v>
      </c>
      <c r="I6" s="63">
        <v>1</v>
      </c>
      <c r="K6" s="69" t="s">
        <v>235</v>
      </c>
      <c r="L6" s="70" t="s">
        <v>236</v>
      </c>
      <c r="M6" s="71">
        <f>M3*M5</f>
        <v>418.39</v>
      </c>
      <c r="N6" s="56"/>
    </row>
    <row r="7" customHeight="1" spans="1:14">
      <c r="A7" s="58"/>
      <c r="B7" s="59"/>
      <c r="C7" s="68"/>
      <c r="D7" s="66"/>
      <c r="E7" s="62" t="s">
        <v>231</v>
      </c>
      <c r="F7" s="62">
        <v>5</v>
      </c>
      <c r="G7" s="63">
        <v>1</v>
      </c>
      <c r="H7" s="64">
        <f t="shared" si="0"/>
        <v>1.66666666666667</v>
      </c>
      <c r="I7" s="63">
        <v>1</v>
      </c>
      <c r="K7" s="72"/>
      <c r="L7" s="70" t="s">
        <v>237</v>
      </c>
      <c r="M7" s="71">
        <f>M4*M5</f>
        <v>139.463333333333</v>
      </c>
      <c r="N7" s="56"/>
    </row>
    <row r="8" customHeight="1" spans="1:14">
      <c r="A8" s="58"/>
      <c r="B8" s="59"/>
      <c r="C8" s="68"/>
      <c r="D8" s="66"/>
      <c r="E8" s="62" t="s">
        <v>231</v>
      </c>
      <c r="F8" s="62">
        <v>5</v>
      </c>
      <c r="G8" s="63">
        <v>1</v>
      </c>
      <c r="H8" s="64">
        <f t="shared" si="0"/>
        <v>1.66666666666667</v>
      </c>
      <c r="I8" s="63">
        <v>1</v>
      </c>
      <c r="K8" s="69" t="s">
        <v>238</v>
      </c>
      <c r="L8" s="55" t="s">
        <v>239</v>
      </c>
      <c r="M8" s="73">
        <v>3.99</v>
      </c>
      <c r="N8" s="74" t="s">
        <v>240</v>
      </c>
    </row>
    <row r="9" customHeight="1" spans="1:14">
      <c r="A9" s="58"/>
      <c r="B9" s="59"/>
      <c r="C9" s="68"/>
      <c r="D9" s="66"/>
      <c r="E9" s="62" t="s">
        <v>231</v>
      </c>
      <c r="F9" s="62">
        <v>5</v>
      </c>
      <c r="G9" s="75">
        <v>1</v>
      </c>
      <c r="H9" s="64">
        <f t="shared" si="0"/>
        <v>1.66666666666667</v>
      </c>
      <c r="I9" s="75">
        <v>1</v>
      </c>
      <c r="K9" s="76"/>
      <c r="L9" s="55" t="s">
        <v>241</v>
      </c>
      <c r="M9" s="73">
        <v>7.19</v>
      </c>
      <c r="N9" s="77"/>
    </row>
    <row r="10" customHeight="1" spans="1:14">
      <c r="A10" s="58"/>
      <c r="B10" s="59"/>
      <c r="C10" s="68"/>
      <c r="D10" s="66"/>
      <c r="E10" s="62" t="s">
        <v>242</v>
      </c>
      <c r="F10" s="62">
        <v>7</v>
      </c>
      <c r="G10" s="75">
        <v>1</v>
      </c>
      <c r="H10" s="64">
        <f t="shared" si="0"/>
        <v>2.33333333333333</v>
      </c>
      <c r="I10" s="75">
        <v>1</v>
      </c>
      <c r="K10" s="72"/>
      <c r="L10" s="55" t="s">
        <v>243</v>
      </c>
      <c r="M10" s="73">
        <v>12.48</v>
      </c>
      <c r="N10" s="78"/>
    </row>
    <row r="11" customHeight="1" spans="1:14">
      <c r="A11" s="58"/>
      <c r="B11" s="59"/>
      <c r="C11" s="68"/>
      <c r="D11" s="66"/>
      <c r="E11" s="62" t="s">
        <v>233</v>
      </c>
      <c r="F11" s="62">
        <v>10</v>
      </c>
      <c r="G11" s="63">
        <v>1</v>
      </c>
      <c r="H11" s="64">
        <f t="shared" si="0"/>
        <v>3.33333333333333</v>
      </c>
      <c r="I11" s="63">
        <v>1</v>
      </c>
      <c r="K11" s="69" t="s">
        <v>244</v>
      </c>
      <c r="L11" s="55" t="s">
        <v>239</v>
      </c>
      <c r="M11" s="79">
        <f>M8*M7</f>
        <v>556.4587</v>
      </c>
      <c r="N11" s="80"/>
    </row>
    <row r="12" customHeight="1" spans="1:14">
      <c r="A12" s="58"/>
      <c r="B12" s="81"/>
      <c r="C12" s="60"/>
      <c r="D12" s="66"/>
      <c r="E12" s="62" t="s">
        <v>231</v>
      </c>
      <c r="F12" s="62">
        <v>5</v>
      </c>
      <c r="G12" s="63">
        <v>1</v>
      </c>
      <c r="H12" s="64">
        <f t="shared" si="0"/>
        <v>1.66666666666667</v>
      </c>
      <c r="I12" s="63">
        <v>1</v>
      </c>
      <c r="K12" s="76"/>
      <c r="L12" s="55" t="s">
        <v>241</v>
      </c>
      <c r="M12" s="79">
        <f>M9*M7</f>
        <v>1002.74136666667</v>
      </c>
      <c r="N12" s="56"/>
    </row>
    <row r="13" customHeight="1" spans="1:14">
      <c r="A13" s="82"/>
      <c r="B13" s="83"/>
      <c r="C13" s="63"/>
      <c r="D13" s="52"/>
      <c r="E13" s="62" t="s">
        <v>233</v>
      </c>
      <c r="F13" s="62">
        <v>10</v>
      </c>
      <c r="G13" s="63">
        <v>1</v>
      </c>
      <c r="H13" s="64">
        <f t="shared" si="0"/>
        <v>3.33333333333333</v>
      </c>
      <c r="I13" s="83">
        <v>1</v>
      </c>
      <c r="K13" s="72"/>
      <c r="L13" s="55" t="s">
        <v>243</v>
      </c>
      <c r="M13" s="79">
        <f>M10*M7</f>
        <v>1740.5024</v>
      </c>
      <c r="N13" s="56"/>
    </row>
    <row r="14" customHeight="1" spans="1:14">
      <c r="A14" s="82"/>
      <c r="B14" s="83"/>
      <c r="C14" s="63"/>
      <c r="D14" s="52"/>
      <c r="E14" s="62" t="s">
        <v>233</v>
      </c>
      <c r="F14" s="62">
        <v>10</v>
      </c>
      <c r="G14" s="83">
        <v>1</v>
      </c>
      <c r="H14" s="64">
        <f t="shared" si="0"/>
        <v>3.33333333333333</v>
      </c>
      <c r="I14" s="83">
        <v>1</v>
      </c>
      <c r="K14" s="69" t="s">
        <v>245</v>
      </c>
      <c r="L14" s="55" t="s">
        <v>246</v>
      </c>
      <c r="M14" s="79">
        <f>(269.6446+M7*0.7094)/M7</f>
        <v>2.64284439398647</v>
      </c>
      <c r="N14" s="84"/>
    </row>
    <row r="15" customHeight="1" spans="1:14">
      <c r="A15" s="82"/>
      <c r="B15" s="83"/>
      <c r="C15" s="63"/>
      <c r="D15" s="52"/>
      <c r="E15" s="62" t="s">
        <v>231</v>
      </c>
      <c r="F15" s="62">
        <v>5</v>
      </c>
      <c r="G15" s="83">
        <v>1</v>
      </c>
      <c r="H15" s="64">
        <f t="shared" si="0"/>
        <v>1.66666666666667</v>
      </c>
      <c r="I15" s="83">
        <v>1</v>
      </c>
      <c r="K15" s="76"/>
      <c r="L15" s="55" t="s">
        <v>247</v>
      </c>
      <c r="M15" s="79">
        <v>1</v>
      </c>
      <c r="N15" s="85"/>
    </row>
    <row r="16" customHeight="1" spans="1:14">
      <c r="A16" s="82"/>
      <c r="B16" s="83"/>
      <c r="C16" s="63"/>
      <c r="D16" s="52"/>
      <c r="E16" s="62" t="s">
        <v>231</v>
      </c>
      <c r="F16" s="62">
        <v>5</v>
      </c>
      <c r="G16" s="83">
        <v>1</v>
      </c>
      <c r="H16" s="64">
        <f t="shared" si="0"/>
        <v>1.66666666666667</v>
      </c>
      <c r="I16" s="83">
        <v>1</v>
      </c>
      <c r="K16" s="76"/>
      <c r="L16" s="55" t="s">
        <v>248</v>
      </c>
      <c r="M16" s="79">
        <v>1.1</v>
      </c>
      <c r="N16" s="86"/>
    </row>
    <row r="17" customHeight="1" spans="1:14">
      <c r="A17" s="82"/>
      <c r="B17" s="83"/>
      <c r="C17" s="63"/>
      <c r="D17" s="52"/>
      <c r="E17" s="62" t="s">
        <v>231</v>
      </c>
      <c r="F17" s="62">
        <v>5</v>
      </c>
      <c r="G17" s="83">
        <v>1</v>
      </c>
      <c r="H17" s="64">
        <f t="shared" si="0"/>
        <v>1.66666666666667</v>
      </c>
      <c r="I17" s="83">
        <v>1</v>
      </c>
      <c r="K17" s="76"/>
      <c r="L17" s="55" t="s">
        <v>249</v>
      </c>
      <c r="M17" s="79">
        <v>1</v>
      </c>
      <c r="N17" s="86"/>
    </row>
    <row r="18" customHeight="1" spans="1:14">
      <c r="A18" s="82"/>
      <c r="B18" s="83"/>
      <c r="C18" s="63"/>
      <c r="D18" s="52"/>
      <c r="E18" s="62" t="s">
        <v>233</v>
      </c>
      <c r="F18" s="62">
        <v>10</v>
      </c>
      <c r="G18" s="83">
        <v>1</v>
      </c>
      <c r="H18" s="64">
        <f t="shared" si="0"/>
        <v>3.33333333333333</v>
      </c>
      <c r="I18" s="83">
        <v>1</v>
      </c>
      <c r="K18" s="72"/>
      <c r="L18" s="55" t="s">
        <v>250</v>
      </c>
      <c r="M18" s="79">
        <v>0.8</v>
      </c>
      <c r="N18" s="87"/>
    </row>
    <row r="19" customHeight="1" spans="1:14">
      <c r="A19" s="82"/>
      <c r="B19" s="83"/>
      <c r="C19" s="63"/>
      <c r="D19" s="52"/>
      <c r="E19" s="62" t="s">
        <v>233</v>
      </c>
      <c r="F19" s="62">
        <v>10</v>
      </c>
      <c r="G19" s="83">
        <v>1</v>
      </c>
      <c r="H19" s="64">
        <f t="shared" si="0"/>
        <v>3.33333333333333</v>
      </c>
      <c r="I19" s="83">
        <v>1</v>
      </c>
      <c r="K19" s="69" t="s">
        <v>251</v>
      </c>
      <c r="L19" s="55" t="s">
        <v>239</v>
      </c>
      <c r="M19" s="79">
        <f>M11*M15*M16*M17*M18*M14</f>
        <v>1294.1577050864</v>
      </c>
      <c r="N19" s="56"/>
    </row>
    <row r="20" customHeight="1" spans="1:14">
      <c r="A20" s="82"/>
      <c r="B20" s="83"/>
      <c r="C20" s="63"/>
      <c r="D20" s="52"/>
      <c r="E20" s="62" t="s">
        <v>231</v>
      </c>
      <c r="F20" s="62">
        <v>5</v>
      </c>
      <c r="G20" s="83">
        <v>1</v>
      </c>
      <c r="H20" s="64">
        <f t="shared" si="0"/>
        <v>1.66666666666667</v>
      </c>
      <c r="I20" s="83">
        <v>1</v>
      </c>
      <c r="K20" s="76"/>
      <c r="L20" s="55" t="s">
        <v>241</v>
      </c>
      <c r="M20" s="79">
        <f>M12*M15*M16*M17*M18*M14</f>
        <v>2332.07867157173</v>
      </c>
      <c r="N20" s="56"/>
    </row>
    <row r="21" customHeight="1" spans="1:14">
      <c r="A21" s="82"/>
      <c r="B21" s="83"/>
      <c r="C21" s="63"/>
      <c r="D21" s="52"/>
      <c r="E21" s="62" t="s">
        <v>231</v>
      </c>
      <c r="F21" s="62">
        <v>5</v>
      </c>
      <c r="G21" s="83">
        <v>1</v>
      </c>
      <c r="H21" s="64">
        <f t="shared" si="0"/>
        <v>1.66666666666667</v>
      </c>
      <c r="I21" s="83">
        <v>1</v>
      </c>
      <c r="K21" s="72"/>
      <c r="L21" s="55" t="s">
        <v>243</v>
      </c>
      <c r="M21" s="79">
        <f>M13*M15*M16*M17*M18*M14</f>
        <v>4047.8917692928</v>
      </c>
      <c r="N21" s="56"/>
    </row>
    <row r="22" customHeight="1" spans="1:14">
      <c r="A22" s="82"/>
      <c r="B22" s="83"/>
      <c r="C22" s="63"/>
      <c r="D22" s="52"/>
      <c r="E22" s="62" t="s">
        <v>231</v>
      </c>
      <c r="F22" s="62">
        <v>5</v>
      </c>
      <c r="G22" s="83">
        <v>1</v>
      </c>
      <c r="H22" s="64">
        <f t="shared" si="0"/>
        <v>1.66666666666667</v>
      </c>
      <c r="I22" s="83">
        <v>1</v>
      </c>
      <c r="K22" s="55" t="s">
        <v>252</v>
      </c>
      <c r="L22" s="55"/>
      <c r="M22" s="79">
        <v>174</v>
      </c>
      <c r="N22" s="56" t="s">
        <v>253</v>
      </c>
    </row>
    <row r="23" ht="18" customHeight="1" spans="1:14">
      <c r="A23" s="82"/>
      <c r="B23" s="83"/>
      <c r="C23" s="63"/>
      <c r="D23" s="52"/>
      <c r="E23" s="62" t="s">
        <v>233</v>
      </c>
      <c r="F23" s="62">
        <v>10</v>
      </c>
      <c r="G23" s="83">
        <v>1</v>
      </c>
      <c r="H23" s="64">
        <f t="shared" si="0"/>
        <v>3.33333333333333</v>
      </c>
      <c r="I23" s="83">
        <v>1</v>
      </c>
      <c r="K23" s="55" t="s">
        <v>254</v>
      </c>
      <c r="L23" s="55"/>
      <c r="M23" s="71">
        <f>111635/12*2.265</f>
        <v>21071.10625</v>
      </c>
      <c r="N23" s="88" t="s">
        <v>255</v>
      </c>
    </row>
    <row r="24" customHeight="1" spans="1:14">
      <c r="A24" s="82"/>
      <c r="B24" s="83"/>
      <c r="C24" s="63"/>
      <c r="D24" s="52"/>
      <c r="E24" s="62" t="s">
        <v>233</v>
      </c>
      <c r="F24" s="62">
        <v>10</v>
      </c>
      <c r="G24" s="83">
        <v>1</v>
      </c>
      <c r="H24" s="64">
        <f t="shared" si="0"/>
        <v>3.33333333333333</v>
      </c>
      <c r="I24" s="83">
        <v>1</v>
      </c>
      <c r="K24" s="89" t="s">
        <v>256</v>
      </c>
      <c r="L24" s="55" t="s">
        <v>239</v>
      </c>
      <c r="M24" s="79">
        <f t="shared" ref="M24:M26" si="1">1.277*POWER(M19/8/22,0.404)</f>
        <v>2.85921365469441</v>
      </c>
      <c r="N24" s="56"/>
    </row>
    <row r="25" customHeight="1" spans="1:14">
      <c r="A25" s="82"/>
      <c r="B25" s="83"/>
      <c r="C25" s="63"/>
      <c r="D25" s="52"/>
      <c r="E25" s="62" t="s">
        <v>257</v>
      </c>
      <c r="F25" s="62">
        <v>4</v>
      </c>
      <c r="G25" s="83">
        <v>1</v>
      </c>
      <c r="H25" s="64">
        <f t="shared" si="0"/>
        <v>1.33333333333333</v>
      </c>
      <c r="I25" s="83">
        <v>1</v>
      </c>
      <c r="K25" s="90"/>
      <c r="L25" s="55" t="s">
        <v>241</v>
      </c>
      <c r="M25" s="79">
        <f t="shared" si="1"/>
        <v>3.62720441227687</v>
      </c>
      <c r="N25" s="56"/>
    </row>
    <row r="26" customHeight="1" spans="1:14">
      <c r="A26" s="82"/>
      <c r="B26" s="83"/>
      <c r="C26" s="63"/>
      <c r="D26" s="52"/>
      <c r="E26" s="62" t="s">
        <v>231</v>
      </c>
      <c r="F26" s="62">
        <v>5</v>
      </c>
      <c r="G26" s="83">
        <v>1</v>
      </c>
      <c r="H26" s="64">
        <f t="shared" si="0"/>
        <v>1.66666666666667</v>
      </c>
      <c r="I26" s="83">
        <v>1</v>
      </c>
      <c r="K26" s="91"/>
      <c r="L26" s="55" t="s">
        <v>243</v>
      </c>
      <c r="M26" s="79">
        <f t="shared" si="1"/>
        <v>4.53235847405067</v>
      </c>
      <c r="N26" s="56"/>
    </row>
    <row r="27" customHeight="1" spans="1:14">
      <c r="A27" s="82"/>
      <c r="B27" s="83"/>
      <c r="C27" s="63"/>
      <c r="D27" s="52"/>
      <c r="E27" s="62" t="s">
        <v>231</v>
      </c>
      <c r="F27" s="62">
        <v>5</v>
      </c>
      <c r="G27" s="83">
        <v>1</v>
      </c>
      <c r="H27" s="64">
        <f t="shared" si="0"/>
        <v>1.66666666666667</v>
      </c>
      <c r="I27" s="83">
        <v>1</v>
      </c>
      <c r="K27" s="69" t="s">
        <v>258</v>
      </c>
      <c r="L27" s="55" t="s">
        <v>239</v>
      </c>
      <c r="M27" s="79">
        <f>M19/M22*M23</f>
        <v>156720.313265125</v>
      </c>
      <c r="N27" s="56"/>
    </row>
    <row r="28" customHeight="1" spans="1:14">
      <c r="A28" s="82"/>
      <c r="B28" s="83"/>
      <c r="C28" s="63"/>
      <c r="D28" s="52"/>
      <c r="E28" s="62" t="s">
        <v>233</v>
      </c>
      <c r="F28" s="62">
        <v>10</v>
      </c>
      <c r="G28" s="83">
        <v>1</v>
      </c>
      <c r="H28" s="64">
        <f t="shared" si="0"/>
        <v>3.33333333333333</v>
      </c>
      <c r="I28" s="83">
        <v>1</v>
      </c>
      <c r="K28" s="76"/>
      <c r="L28" s="55" t="s">
        <v>241</v>
      </c>
      <c r="M28" s="92">
        <f>M20/M22*M23</f>
        <v>282410.790069235</v>
      </c>
      <c r="N28" s="56"/>
    </row>
    <row r="29" customHeight="1" spans="1:14">
      <c r="A29" s="82"/>
      <c r="B29" s="83"/>
      <c r="C29" s="63"/>
      <c r="D29" s="52"/>
      <c r="E29" s="62" t="s">
        <v>233</v>
      </c>
      <c r="F29" s="62">
        <v>10</v>
      </c>
      <c r="G29" s="83">
        <v>1</v>
      </c>
      <c r="H29" s="64">
        <f t="shared" si="0"/>
        <v>3.33333333333333</v>
      </c>
      <c r="I29" s="83">
        <v>1</v>
      </c>
      <c r="K29" s="72"/>
      <c r="L29" s="55" t="s">
        <v>243</v>
      </c>
      <c r="M29" s="79">
        <f>M21/M22*M23</f>
        <v>490192.859536029</v>
      </c>
      <c r="N29" s="56"/>
    </row>
    <row r="30" customHeight="1" spans="1:14">
      <c r="A30" s="82"/>
      <c r="B30" s="83"/>
      <c r="C30" s="63"/>
      <c r="D30" s="52"/>
      <c r="E30" s="62" t="s">
        <v>231</v>
      </c>
      <c r="F30" s="62">
        <v>5</v>
      </c>
      <c r="G30" s="83">
        <v>1</v>
      </c>
      <c r="H30" s="64">
        <f t="shared" si="0"/>
        <v>1.66666666666667</v>
      </c>
      <c r="I30" s="83">
        <v>1</v>
      </c>
      <c r="K30" s="55"/>
      <c r="L30" s="55" t="s">
        <v>259</v>
      </c>
      <c r="M30" s="92">
        <f>M28</f>
        <v>282410.790069235</v>
      </c>
      <c r="N30" s="56" t="s">
        <v>260</v>
      </c>
    </row>
    <row r="31" customHeight="1" spans="1:14">
      <c r="A31" s="82"/>
      <c r="B31" s="83"/>
      <c r="C31" s="63"/>
      <c r="D31" s="52"/>
      <c r="E31" s="62" t="s">
        <v>231</v>
      </c>
      <c r="F31" s="62">
        <v>5</v>
      </c>
      <c r="G31" s="83">
        <v>1</v>
      </c>
      <c r="H31" s="64">
        <f t="shared" si="0"/>
        <v>1.66666666666667</v>
      </c>
      <c r="I31" s="83">
        <v>1</v>
      </c>
      <c r="K31" s="55"/>
      <c r="L31" s="55" t="s">
        <v>261</v>
      </c>
      <c r="M31" s="79">
        <f>M30/M7</f>
        <v>2024.98236145153</v>
      </c>
      <c r="N31" s="56"/>
    </row>
    <row r="32" customHeight="1" spans="1:14">
      <c r="A32" s="82"/>
      <c r="B32" s="83"/>
      <c r="C32" s="63"/>
      <c r="D32" s="52"/>
      <c r="E32" s="62" t="s">
        <v>231</v>
      </c>
      <c r="F32" s="62">
        <v>5</v>
      </c>
      <c r="G32" s="83">
        <v>1</v>
      </c>
      <c r="H32" s="64">
        <f t="shared" si="0"/>
        <v>1.66666666666667</v>
      </c>
      <c r="I32" s="83">
        <v>1</v>
      </c>
    </row>
    <row r="33" customHeight="1" spans="1:13">
      <c r="A33" s="82"/>
      <c r="B33" s="83"/>
      <c r="C33" s="63"/>
      <c r="D33" s="52"/>
      <c r="E33" s="62" t="s">
        <v>233</v>
      </c>
      <c r="F33" s="62">
        <v>10</v>
      </c>
      <c r="G33" s="83">
        <v>1</v>
      </c>
      <c r="H33" s="64">
        <f t="shared" si="0"/>
        <v>3.33333333333333</v>
      </c>
      <c r="I33" s="83">
        <v>1</v>
      </c>
    </row>
    <row r="34" customHeight="1" spans="1:13">
      <c r="A34" s="82"/>
      <c r="B34" s="83"/>
      <c r="C34" s="63"/>
      <c r="D34" s="52"/>
      <c r="E34" s="62" t="s">
        <v>233</v>
      </c>
      <c r="F34" s="62">
        <v>10</v>
      </c>
      <c r="G34" s="83">
        <v>1</v>
      </c>
      <c r="H34" s="64">
        <f t="shared" si="0"/>
        <v>3.33333333333333</v>
      </c>
      <c r="I34" s="83">
        <v>1</v>
      </c>
      <c r="L34">
        <v>2000</v>
      </c>
      <c r="M34">
        <v>2213</v>
      </c>
    </row>
    <row r="35" customHeight="1" spans="1:13">
      <c r="A35" s="82"/>
      <c r="B35" s="83"/>
      <c r="C35" s="63"/>
      <c r="D35" s="52"/>
      <c r="E35" s="62" t="s">
        <v>231</v>
      </c>
      <c r="F35" s="62">
        <v>5</v>
      </c>
      <c r="G35" s="83">
        <v>1</v>
      </c>
      <c r="H35" s="64">
        <f t="shared" si="0"/>
        <v>1.66666666666667</v>
      </c>
      <c r="I35" s="83">
        <v>1</v>
      </c>
      <c r="L35">
        <v>1717868</v>
      </c>
      <c r="M35">
        <v>1900000</v>
      </c>
    </row>
    <row r="36" customHeight="1" spans="1:13">
      <c r="A36" s="82"/>
      <c r="B36" s="83"/>
      <c r="C36" s="63"/>
      <c r="D36" s="52"/>
      <c r="E36" s="62" t="s">
        <v>231</v>
      </c>
      <c r="F36" s="62">
        <v>5</v>
      </c>
      <c r="G36" s="83">
        <v>1</v>
      </c>
      <c r="H36" s="64">
        <f t="shared" si="0"/>
        <v>1.66666666666667</v>
      </c>
      <c r="I36" s="83">
        <v>1</v>
      </c>
    </row>
    <row r="37" customHeight="1" spans="1:13">
      <c r="A37" s="82"/>
      <c r="B37" s="83"/>
      <c r="C37" s="63"/>
      <c r="D37" s="52"/>
      <c r="E37" s="62" t="s">
        <v>231</v>
      </c>
      <c r="F37" s="62">
        <v>5</v>
      </c>
      <c r="G37" s="83">
        <v>1</v>
      </c>
      <c r="H37" s="64">
        <f t="shared" si="0"/>
        <v>1.66666666666667</v>
      </c>
      <c r="I37" s="83">
        <v>1</v>
      </c>
    </row>
    <row r="38" customHeight="1" spans="1:13">
      <c r="A38" s="82"/>
      <c r="B38" s="83"/>
      <c r="C38" s="63"/>
      <c r="D38" s="52"/>
      <c r="E38" s="62" t="s">
        <v>233</v>
      </c>
      <c r="F38" s="62">
        <v>10</v>
      </c>
      <c r="G38" s="83">
        <v>1</v>
      </c>
      <c r="H38" s="64">
        <f t="shared" si="0"/>
        <v>3.33333333333333</v>
      </c>
      <c r="I38" s="83">
        <v>1</v>
      </c>
    </row>
    <row r="39" customHeight="1" spans="1:13">
      <c r="A39" s="82"/>
      <c r="B39" s="83"/>
      <c r="C39" s="63"/>
      <c r="D39" s="52"/>
      <c r="E39" s="62" t="s">
        <v>233</v>
      </c>
      <c r="F39" s="62">
        <v>10</v>
      </c>
      <c r="G39" s="83">
        <v>1</v>
      </c>
      <c r="H39" s="64">
        <f t="shared" si="0"/>
        <v>3.33333333333333</v>
      </c>
      <c r="I39" s="83">
        <v>1</v>
      </c>
    </row>
    <row r="40" customHeight="1" spans="1:13">
      <c r="A40" s="82"/>
      <c r="B40" s="83"/>
      <c r="C40" s="63"/>
      <c r="D40" s="52"/>
      <c r="E40" s="62" t="s">
        <v>231</v>
      </c>
      <c r="F40" s="62">
        <v>5</v>
      </c>
      <c r="G40" s="83">
        <v>1</v>
      </c>
      <c r="H40" s="64">
        <f t="shared" si="0"/>
        <v>1.66666666666667</v>
      </c>
      <c r="I40" s="83">
        <v>1</v>
      </c>
    </row>
    <row r="41" customHeight="1" spans="1:13">
      <c r="A41" s="93"/>
      <c r="B41" s="83"/>
      <c r="C41" s="63"/>
      <c r="D41" s="52"/>
      <c r="E41" s="62" t="s">
        <v>231</v>
      </c>
      <c r="F41" s="62">
        <v>5</v>
      </c>
      <c r="G41" s="83">
        <v>1</v>
      </c>
      <c r="H41" s="64">
        <f t="shared" si="0"/>
        <v>1.66666666666667</v>
      </c>
      <c r="I41" s="83">
        <v>1</v>
      </c>
    </row>
    <row r="42" customHeight="1" spans="1:13">
      <c r="A42" s="93"/>
      <c r="B42" s="83"/>
      <c r="C42" s="63"/>
      <c r="D42" s="52"/>
      <c r="E42" s="62" t="s">
        <v>231</v>
      </c>
      <c r="F42" s="62">
        <v>5</v>
      </c>
      <c r="G42" s="83">
        <v>1</v>
      </c>
      <c r="H42" s="64">
        <f t="shared" si="0"/>
        <v>1.66666666666667</v>
      </c>
      <c r="I42" s="83">
        <v>1</v>
      </c>
    </row>
    <row r="43" customHeight="1" spans="1:13">
      <c r="A43" s="93"/>
      <c r="B43" s="83"/>
      <c r="C43" s="63"/>
      <c r="D43" s="52"/>
      <c r="E43" s="62" t="s">
        <v>233</v>
      </c>
      <c r="F43" s="62">
        <v>10</v>
      </c>
      <c r="G43" s="83">
        <v>1</v>
      </c>
      <c r="H43" s="64">
        <f t="shared" si="0"/>
        <v>3.33333333333333</v>
      </c>
      <c r="I43" s="83">
        <v>1</v>
      </c>
    </row>
    <row r="44" customHeight="1" spans="1:13">
      <c r="A44" s="93"/>
      <c r="B44" s="83"/>
      <c r="C44" s="63"/>
      <c r="D44" s="52"/>
      <c r="E44" s="62" t="s">
        <v>233</v>
      </c>
      <c r="F44" s="62">
        <v>10</v>
      </c>
      <c r="G44" s="83">
        <v>1</v>
      </c>
      <c r="H44" s="64">
        <f t="shared" si="0"/>
        <v>3.33333333333333</v>
      </c>
      <c r="I44" s="83">
        <v>1</v>
      </c>
    </row>
    <row r="45" customHeight="1" spans="1:13">
      <c r="A45" s="93"/>
      <c r="B45" s="83"/>
      <c r="C45" s="63"/>
      <c r="D45" s="52"/>
      <c r="E45" s="62" t="s">
        <v>231</v>
      </c>
      <c r="F45" s="62">
        <v>5</v>
      </c>
      <c r="G45" s="83">
        <v>1</v>
      </c>
      <c r="H45" s="64">
        <f t="shared" si="0"/>
        <v>1.66666666666667</v>
      </c>
      <c r="I45" s="83">
        <v>1</v>
      </c>
    </row>
    <row r="46" customHeight="1" spans="1:13">
      <c r="A46" s="93"/>
      <c r="B46" s="83"/>
      <c r="C46" s="63"/>
      <c r="D46" s="52"/>
      <c r="E46" s="62" t="s">
        <v>231</v>
      </c>
      <c r="F46" s="62">
        <v>5</v>
      </c>
      <c r="G46" s="83">
        <v>1</v>
      </c>
      <c r="H46" s="64">
        <f t="shared" si="0"/>
        <v>1.66666666666667</v>
      </c>
      <c r="I46" s="83">
        <v>1</v>
      </c>
    </row>
  </sheetData>
  <mergeCells count="22">
    <mergeCell ref="F1:G1"/>
    <mergeCell ref="K1:N1"/>
    <mergeCell ref="A1:A2"/>
    <mergeCell ref="B1:B2"/>
    <mergeCell ref="B4:B12"/>
    <mergeCell ref="B13:B46"/>
    <mergeCell ref="C1:C2"/>
    <mergeCell ref="C5:C12"/>
    <mergeCell ref="C13:C46"/>
    <mergeCell ref="D1:D2"/>
    <mergeCell ref="E1:E2"/>
    <mergeCell ref="H1:H2"/>
    <mergeCell ref="I1:I2"/>
    <mergeCell ref="K6:K7"/>
    <mergeCell ref="K8:K10"/>
    <mergeCell ref="K11:K13"/>
    <mergeCell ref="K14:K18"/>
    <mergeCell ref="K19:K21"/>
    <mergeCell ref="K24:K26"/>
    <mergeCell ref="K27:K29"/>
    <mergeCell ref="N8:N10"/>
    <mergeCell ref="N15:N1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zoomScale="108" zoomScaleNormal="108" workbookViewId="0">
      <selection activeCell="F7" sqref="F7"/>
    </sheetView>
  </sheetViews>
  <sheetFormatPr defaultColWidth="9" defaultRowHeight="16.8" outlineLevelCol="4"/>
  <cols>
    <col min="1" max="1" width="11.75" customWidth="1"/>
    <col min="2" max="2" width="49.25" style="29" customWidth="1"/>
    <col min="5" max="5" width="11.25" customWidth="1"/>
  </cols>
  <sheetData>
    <row r="1" spans="1:5">
      <c r="A1" s="30" t="s">
        <v>262</v>
      </c>
      <c r="B1" s="31"/>
      <c r="C1" s="31"/>
      <c r="D1" s="31"/>
      <c r="E1" s="31"/>
    </row>
    <row r="2" spans="1:5">
      <c r="A2" s="32" t="s">
        <v>263</v>
      </c>
      <c r="B2" s="32" t="s">
        <v>264</v>
      </c>
      <c r="C2" s="32" t="s">
        <v>265</v>
      </c>
      <c r="D2" s="32" t="s">
        <v>266</v>
      </c>
      <c r="E2" s="32" t="s">
        <v>229</v>
      </c>
    </row>
    <row r="3" spans="1:5">
      <c r="A3" s="31" t="s">
        <v>267</v>
      </c>
      <c r="B3" s="33" t="s">
        <v>268</v>
      </c>
      <c r="C3" s="32">
        <v>1</v>
      </c>
      <c r="D3" s="34" t="s">
        <v>269</v>
      </c>
      <c r="E3" s="33" t="s">
        <v>270</v>
      </c>
    </row>
    <row r="4" ht="46" spans="1:5">
      <c r="A4" s="31" t="s">
        <v>271</v>
      </c>
      <c r="B4" s="33" t="s">
        <v>272</v>
      </c>
      <c r="C4" s="32">
        <v>1.2</v>
      </c>
      <c r="D4" s="32"/>
      <c r="E4" s="33"/>
    </row>
    <row r="5" spans="1:5">
      <c r="A5" s="31" t="s">
        <v>273</v>
      </c>
      <c r="B5" s="33" t="s">
        <v>274</v>
      </c>
      <c r="C5" s="32">
        <v>1.3</v>
      </c>
      <c r="D5" s="32"/>
      <c r="E5" s="33"/>
    </row>
    <row r="6" spans="1:5">
      <c r="A6" s="31" t="s">
        <v>275</v>
      </c>
      <c r="B6" s="33" t="s">
        <v>276</v>
      </c>
      <c r="C6" s="32">
        <v>1.7</v>
      </c>
      <c r="D6" s="32"/>
      <c r="E6" s="33"/>
    </row>
    <row r="7" ht="31" spans="1:5">
      <c r="A7" s="31" t="s">
        <v>277</v>
      </c>
      <c r="B7" s="33" t="s">
        <v>278</v>
      </c>
      <c r="C7" s="32">
        <v>1.7</v>
      </c>
      <c r="D7" s="32"/>
      <c r="E7" s="33"/>
    </row>
    <row r="8" spans="1:5">
      <c r="A8" s="31" t="s">
        <v>279</v>
      </c>
      <c r="B8" s="33" t="s">
        <v>280</v>
      </c>
      <c r="C8" s="32">
        <v>1.9</v>
      </c>
      <c r="D8" s="32"/>
      <c r="E8" s="33"/>
    </row>
    <row r="9" spans="1:5">
      <c r="A9" s="31" t="s">
        <v>281</v>
      </c>
      <c r="B9" s="33" t="s">
        <v>282</v>
      </c>
      <c r="C9" s="32">
        <v>2</v>
      </c>
      <c r="D9" s="32"/>
      <c r="E9" s="33"/>
    </row>
    <row r="10" spans="1:5">
      <c r="A10" s="31" t="s">
        <v>283</v>
      </c>
      <c r="B10" s="33" t="s">
        <v>284</v>
      </c>
      <c r="C10" s="32">
        <v>2.2</v>
      </c>
      <c r="D10" s="32"/>
      <c r="E10" s="33"/>
    </row>
    <row r="11" spans="1:5">
      <c r="A11" s="31"/>
      <c r="B11" s="33"/>
      <c r="C11" s="32"/>
      <c r="D11" s="32"/>
      <c r="E11" s="33"/>
    </row>
    <row r="12" spans="1:5">
      <c r="A12" s="35"/>
      <c r="B12" s="36"/>
      <c r="C12" s="35"/>
      <c r="D12" s="35"/>
      <c r="E12" s="35"/>
    </row>
    <row r="13" spans="1:5">
      <c r="A13" s="37" t="s">
        <v>285</v>
      </c>
      <c r="B13" s="38"/>
      <c r="C13" s="38"/>
      <c r="D13" s="38"/>
      <c r="E13" s="38"/>
    </row>
    <row r="14" spans="1:5">
      <c r="A14" s="39" t="s">
        <v>265</v>
      </c>
      <c r="B14" s="40" t="s">
        <v>286</v>
      </c>
      <c r="C14" s="39" t="s">
        <v>265</v>
      </c>
      <c r="D14" s="39" t="s">
        <v>266</v>
      </c>
      <c r="E14" s="39" t="s">
        <v>229</v>
      </c>
    </row>
    <row r="15" spans="1:5">
      <c r="A15" s="38" t="s">
        <v>287</v>
      </c>
      <c r="B15" s="40" t="s">
        <v>288</v>
      </c>
      <c r="C15" s="39">
        <v>-1</v>
      </c>
      <c r="D15" s="39"/>
      <c r="E15" s="39" t="s">
        <v>289</v>
      </c>
    </row>
    <row r="16" spans="1:5">
      <c r="A16" s="38"/>
      <c r="B16" s="40" t="s">
        <v>290</v>
      </c>
      <c r="C16" s="39">
        <v>1</v>
      </c>
      <c r="D16" s="39" t="s">
        <v>269</v>
      </c>
      <c r="E16" s="39"/>
    </row>
    <row r="17" spans="1:5">
      <c r="A17" s="38" t="s">
        <v>291</v>
      </c>
      <c r="B17" s="40" t="s">
        <v>292</v>
      </c>
      <c r="C17" s="39">
        <v>-1</v>
      </c>
      <c r="D17" s="39"/>
      <c r="E17" s="39"/>
    </row>
    <row r="18" spans="1:5">
      <c r="A18" s="38"/>
      <c r="B18" s="40" t="s">
        <v>293</v>
      </c>
      <c r="C18" s="39">
        <v>1</v>
      </c>
      <c r="D18" s="39" t="s">
        <v>269</v>
      </c>
      <c r="E18" s="39"/>
    </row>
    <row r="19" spans="1:5">
      <c r="A19" s="38" t="s">
        <v>294</v>
      </c>
      <c r="B19" s="40" t="s">
        <v>295</v>
      </c>
      <c r="C19" s="39">
        <v>-1</v>
      </c>
      <c r="D19" s="39"/>
      <c r="E19" s="39"/>
    </row>
    <row r="20" spans="1:5">
      <c r="A20" s="38"/>
      <c r="B20" s="40" t="s">
        <v>296</v>
      </c>
      <c r="C20" s="39">
        <v>1</v>
      </c>
      <c r="D20" s="39" t="s">
        <v>269</v>
      </c>
      <c r="E20" s="39"/>
    </row>
    <row r="21" spans="1:5">
      <c r="A21" s="38" t="s">
        <v>297</v>
      </c>
      <c r="B21" s="40" t="s">
        <v>298</v>
      </c>
      <c r="C21" s="39">
        <v>-1</v>
      </c>
      <c r="D21" s="39"/>
      <c r="E21" s="39"/>
    </row>
    <row r="22" spans="1:5">
      <c r="A22" s="38"/>
      <c r="B22" s="40" t="s">
        <v>299</v>
      </c>
      <c r="C22" s="39">
        <v>1</v>
      </c>
      <c r="D22" s="39" t="s">
        <v>269</v>
      </c>
      <c r="E22" s="39"/>
    </row>
    <row r="23" spans="1:5">
      <c r="A23" s="35"/>
      <c r="B23" s="36"/>
      <c r="C23" s="35"/>
      <c r="D23" s="35"/>
      <c r="E23" s="35"/>
    </row>
    <row r="24" spans="1:5">
      <c r="A24" s="37" t="s">
        <v>300</v>
      </c>
      <c r="B24" s="38"/>
      <c r="C24" s="38"/>
      <c r="D24" s="38"/>
      <c r="E24" s="38"/>
    </row>
    <row r="25" spans="1:5">
      <c r="A25" s="39" t="s">
        <v>301</v>
      </c>
      <c r="B25" s="39"/>
      <c r="C25" s="39" t="s">
        <v>265</v>
      </c>
      <c r="D25" s="39" t="s">
        <v>266</v>
      </c>
      <c r="E25" s="39" t="s">
        <v>229</v>
      </c>
    </row>
    <row r="26" spans="1:5">
      <c r="A26" s="40" t="s">
        <v>302</v>
      </c>
      <c r="B26" s="40"/>
      <c r="C26" s="39">
        <v>1.5</v>
      </c>
      <c r="D26" s="39"/>
      <c r="E26" s="39" t="s">
        <v>303</v>
      </c>
    </row>
    <row r="27" spans="1:5">
      <c r="A27" s="40" t="s">
        <v>304</v>
      </c>
      <c r="B27" s="40"/>
      <c r="C27" s="39">
        <v>1</v>
      </c>
      <c r="D27" s="39" t="s">
        <v>269</v>
      </c>
      <c r="E27" s="39"/>
    </row>
    <row r="28" spans="1:5">
      <c r="A28" s="40" t="s">
        <v>305</v>
      </c>
      <c r="B28" s="40"/>
      <c r="C28" s="39">
        <v>0.8</v>
      </c>
      <c r="D28" s="41"/>
      <c r="E28" s="39"/>
    </row>
    <row r="29" spans="1:5">
      <c r="A29" s="35"/>
      <c r="B29" s="36"/>
      <c r="C29" s="35"/>
      <c r="D29" s="35"/>
      <c r="E29" s="35"/>
    </row>
    <row r="30" spans="1:5">
      <c r="A30" s="37" t="s">
        <v>306</v>
      </c>
      <c r="B30" s="38"/>
      <c r="C30" s="38"/>
      <c r="D30" s="38"/>
      <c r="E30" s="38"/>
    </row>
    <row r="31" spans="1:5">
      <c r="A31" s="39" t="s">
        <v>307</v>
      </c>
      <c r="B31" s="39"/>
      <c r="C31" s="39" t="s">
        <v>265</v>
      </c>
      <c r="D31" s="39" t="s">
        <v>266</v>
      </c>
      <c r="E31" s="39" t="s">
        <v>229</v>
      </c>
    </row>
    <row r="32" spans="1:5">
      <c r="A32" s="40" t="s">
        <v>308</v>
      </c>
      <c r="B32" s="40"/>
      <c r="C32" s="39">
        <v>0.8</v>
      </c>
      <c r="D32" s="39" t="s">
        <v>269</v>
      </c>
      <c r="E32" s="39" t="s">
        <v>309</v>
      </c>
    </row>
    <row r="33" spans="1:5">
      <c r="A33" s="40" t="s">
        <v>310</v>
      </c>
      <c r="B33" s="40"/>
      <c r="C33" s="39">
        <v>1</v>
      </c>
      <c r="D33" s="42"/>
      <c r="E33" s="39"/>
    </row>
    <row r="34" spans="1:5">
      <c r="A34" s="40" t="s">
        <v>311</v>
      </c>
      <c r="B34" s="40"/>
      <c r="C34" s="39">
        <v>1.2</v>
      </c>
      <c r="D34" s="39"/>
      <c r="E34" s="39"/>
    </row>
  </sheetData>
  <mergeCells count="20">
    <mergeCell ref="A1:E1"/>
    <mergeCell ref="A13:E13"/>
    <mergeCell ref="A24:E24"/>
    <mergeCell ref="A25:B25"/>
    <mergeCell ref="A26:B26"/>
    <mergeCell ref="A27:B27"/>
    <mergeCell ref="A28:B28"/>
    <mergeCell ref="A30:E30"/>
    <mergeCell ref="A31:B31"/>
    <mergeCell ref="A32:B32"/>
    <mergeCell ref="A33:B33"/>
    <mergeCell ref="A34:B34"/>
    <mergeCell ref="A10:A11"/>
    <mergeCell ref="B10:B11"/>
    <mergeCell ref="C10:C11"/>
    <mergeCell ref="D10:D11"/>
    <mergeCell ref="E3:E11"/>
    <mergeCell ref="E15:E22"/>
    <mergeCell ref="E26:E28"/>
    <mergeCell ref="E32:E3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C23" sqref="C23"/>
    </sheetView>
  </sheetViews>
  <sheetFormatPr defaultColWidth="9" defaultRowHeight="16.8" outlineLevelCol="3"/>
  <cols>
    <col min="1" max="1" width="23.9107142857143" customWidth="1"/>
    <col min="2" max="2" width="17.5803571428571" customWidth="1"/>
    <col min="3" max="3" width="23.75" customWidth="1"/>
    <col min="4" max="4" width="31.5803571428571" style="1" customWidth="1"/>
  </cols>
  <sheetData>
    <row r="1" ht="17.6" spans="1:4">
      <c r="A1" s="2"/>
      <c r="B1" s="3"/>
      <c r="C1" s="3"/>
      <c r="D1" s="4"/>
    </row>
    <row r="2" spans="1:4">
      <c r="A2" s="5" t="s">
        <v>226</v>
      </c>
      <c r="B2" s="5" t="s">
        <v>227</v>
      </c>
      <c r="C2" s="5" t="s">
        <v>228</v>
      </c>
      <c r="D2" s="5" t="s">
        <v>229</v>
      </c>
    </row>
    <row r="3" spans="1:4">
      <c r="A3" s="6" t="s">
        <v>230</v>
      </c>
      <c r="B3" s="7"/>
      <c r="C3" s="8">
        <f>XXX系统功能点!M3</f>
        <v>301</v>
      </c>
      <c r="D3" s="7"/>
    </row>
    <row r="4" spans="1:4">
      <c r="A4" s="6" t="s">
        <v>232</v>
      </c>
      <c r="B4" s="7"/>
      <c r="C4" s="8">
        <f>XXX系统功能点!M4</f>
        <v>100.333333333333</v>
      </c>
      <c r="D4" s="7"/>
    </row>
    <row r="5" spans="1:4">
      <c r="A5" s="6" t="s">
        <v>234</v>
      </c>
      <c r="B5" s="7"/>
      <c r="C5" s="9">
        <v>1.39</v>
      </c>
      <c r="D5" s="7"/>
    </row>
    <row r="6" ht="31" spans="1:4">
      <c r="A6" s="10" t="s">
        <v>235</v>
      </c>
      <c r="B6" s="11" t="s">
        <v>312</v>
      </c>
      <c r="C6" s="12">
        <f>C3*C5</f>
        <v>418.39</v>
      </c>
      <c r="D6" s="7"/>
    </row>
    <row r="7" ht="31" spans="1:4">
      <c r="A7" s="13"/>
      <c r="B7" s="11" t="s">
        <v>313</v>
      </c>
      <c r="C7" s="12">
        <f>C4*C5</f>
        <v>139.463333333333</v>
      </c>
      <c r="D7" s="7"/>
    </row>
    <row r="8" spans="1:4">
      <c r="A8" s="10" t="s">
        <v>238</v>
      </c>
      <c r="B8" s="6" t="s">
        <v>239</v>
      </c>
      <c r="C8" s="14">
        <v>3.99</v>
      </c>
      <c r="D8" s="15" t="s">
        <v>240</v>
      </c>
    </row>
    <row r="9" spans="1:4">
      <c r="A9" s="16"/>
      <c r="B9" s="6" t="s">
        <v>241</v>
      </c>
      <c r="C9" s="14">
        <v>7.19</v>
      </c>
      <c r="D9" s="17"/>
    </row>
    <row r="10" spans="1:4">
      <c r="A10" s="13"/>
      <c r="B10" s="6" t="s">
        <v>243</v>
      </c>
      <c r="C10" s="14">
        <v>12.48</v>
      </c>
      <c r="D10" s="18"/>
    </row>
    <row r="11" spans="1:4">
      <c r="A11" s="10" t="s">
        <v>244</v>
      </c>
      <c r="B11" s="6" t="s">
        <v>239</v>
      </c>
      <c r="C11" s="19">
        <f>C8*C7</f>
        <v>556.4587</v>
      </c>
      <c r="D11" s="20"/>
    </row>
    <row r="12" spans="1:4">
      <c r="A12" s="16"/>
      <c r="B12" s="6" t="s">
        <v>241</v>
      </c>
      <c r="C12" s="19">
        <f>C9*C7</f>
        <v>1002.74136666667</v>
      </c>
      <c r="D12" s="7"/>
    </row>
    <row r="13" spans="1:4">
      <c r="A13" s="13"/>
      <c r="B13" s="6" t="s">
        <v>243</v>
      </c>
      <c r="C13" s="19">
        <f>C10*C7</f>
        <v>1740.5024</v>
      </c>
      <c r="D13" s="7"/>
    </row>
    <row r="14" spans="1:4">
      <c r="A14" s="10" t="s">
        <v>245</v>
      </c>
      <c r="B14" s="6" t="s">
        <v>246</v>
      </c>
      <c r="C14" s="19">
        <f>(269.6446+C7*0.7094)/C7</f>
        <v>2.64284439398647</v>
      </c>
      <c r="D14" s="21"/>
    </row>
    <row r="15" spans="1:4">
      <c r="A15" s="16"/>
      <c r="B15" s="6" t="s">
        <v>247</v>
      </c>
      <c r="C15" s="19">
        <v>1</v>
      </c>
      <c r="D15" s="22"/>
    </row>
    <row r="16" spans="1:4">
      <c r="A16" s="16"/>
      <c r="B16" s="6" t="s">
        <v>248</v>
      </c>
      <c r="C16" s="19">
        <v>1.1</v>
      </c>
      <c r="D16" s="23"/>
    </row>
    <row r="17" spans="1:4">
      <c r="A17" s="16"/>
      <c r="B17" s="6" t="s">
        <v>249</v>
      </c>
      <c r="C17" s="19">
        <v>1</v>
      </c>
      <c r="D17" s="23"/>
    </row>
    <row r="18" spans="1:4">
      <c r="A18" s="13"/>
      <c r="B18" s="6" t="s">
        <v>250</v>
      </c>
      <c r="C18" s="19">
        <v>0.8</v>
      </c>
      <c r="D18" s="24"/>
    </row>
    <row r="19" spans="1:4">
      <c r="A19" s="10" t="s">
        <v>251</v>
      </c>
      <c r="B19" s="6" t="s">
        <v>239</v>
      </c>
      <c r="C19" s="19">
        <f>C11*C15*C16*C17*C18*C14</f>
        <v>1294.1577050864</v>
      </c>
      <c r="D19" s="7"/>
    </row>
    <row r="20" spans="1:4">
      <c r="A20" s="16"/>
      <c r="B20" s="6" t="s">
        <v>241</v>
      </c>
      <c r="C20" s="19">
        <f>C12*C15*C16*C17*C18*C14</f>
        <v>2332.07867157173</v>
      </c>
      <c r="D20" s="7"/>
    </row>
    <row r="21" spans="1:4">
      <c r="A21" s="13"/>
      <c r="B21" s="6" t="s">
        <v>243</v>
      </c>
      <c r="C21" s="19">
        <f>C13*C15*C16*C17*C18*C14</f>
        <v>4047.8917692928</v>
      </c>
      <c r="D21" s="7"/>
    </row>
    <row r="22" spans="1:4">
      <c r="A22" s="6" t="s">
        <v>252</v>
      </c>
      <c r="B22" s="6"/>
      <c r="C22" s="19">
        <v>176</v>
      </c>
      <c r="D22" s="7" t="s">
        <v>314</v>
      </c>
    </row>
    <row r="23" ht="122" spans="1:4">
      <c r="A23" s="6" t="s">
        <v>254</v>
      </c>
      <c r="B23" s="6"/>
      <c r="C23" s="12">
        <f>111635/12*2.265</f>
        <v>21071.10625</v>
      </c>
      <c r="D23" s="25" t="s">
        <v>255</v>
      </c>
    </row>
    <row r="24" spans="1:4">
      <c r="A24" s="26" t="s">
        <v>315</v>
      </c>
      <c r="B24" s="6" t="s">
        <v>239</v>
      </c>
      <c r="C24" s="19">
        <f t="shared" ref="C24:C26" si="0">1.277*POWER(C19/8/22,0.404)</f>
        <v>2.85921365469441</v>
      </c>
      <c r="D24" s="7"/>
    </row>
    <row r="25" spans="1:4">
      <c r="A25" s="27"/>
      <c r="B25" s="6" t="s">
        <v>241</v>
      </c>
      <c r="C25" s="19">
        <f t="shared" si="0"/>
        <v>3.62720441227687</v>
      </c>
      <c r="D25" s="7"/>
    </row>
    <row r="26" spans="1:4">
      <c r="A26" s="28"/>
      <c r="B26" s="6" t="s">
        <v>243</v>
      </c>
      <c r="C26" s="19">
        <f t="shared" si="0"/>
        <v>4.53235847405067</v>
      </c>
      <c r="D26" s="7"/>
    </row>
    <row r="27" spans="1:4">
      <c r="A27" s="10" t="s">
        <v>258</v>
      </c>
      <c r="B27" s="6" t="s">
        <v>239</v>
      </c>
      <c r="C27" s="19">
        <f>C19/C22*C23</f>
        <v>154939.400614385</v>
      </c>
      <c r="D27" s="7"/>
    </row>
    <row r="28" spans="1:4">
      <c r="A28" s="16"/>
      <c r="B28" s="6" t="s">
        <v>241</v>
      </c>
      <c r="C28" s="19">
        <f>C20/C22*C23</f>
        <v>279201.576545721</v>
      </c>
      <c r="D28" s="7"/>
    </row>
    <row r="29" spans="1:4">
      <c r="A29" s="13"/>
      <c r="B29" s="6" t="s">
        <v>243</v>
      </c>
      <c r="C29" s="19">
        <f>C21/C22*C23</f>
        <v>484622.486132211</v>
      </c>
      <c r="D29" s="7"/>
    </row>
    <row r="30" spans="1:4">
      <c r="A30" s="6"/>
      <c r="B30" s="6" t="s">
        <v>259</v>
      </c>
      <c r="C30" s="19">
        <f>C28</f>
        <v>279201.576545721</v>
      </c>
      <c r="D30" s="7" t="s">
        <v>260</v>
      </c>
    </row>
    <row r="31" spans="1:4">
      <c r="A31" s="6"/>
      <c r="B31" s="6" t="s">
        <v>261</v>
      </c>
      <c r="C31" s="19">
        <f>C30/C7</f>
        <v>2001.97119825321</v>
      </c>
      <c r="D31" s="7"/>
    </row>
  </sheetData>
  <mergeCells count="10">
    <mergeCell ref="A1:D1"/>
    <mergeCell ref="A6:A7"/>
    <mergeCell ref="A8:A10"/>
    <mergeCell ref="A11:A13"/>
    <mergeCell ref="A14:A18"/>
    <mergeCell ref="A19:A21"/>
    <mergeCell ref="A24:A26"/>
    <mergeCell ref="A27:A29"/>
    <mergeCell ref="D8:D10"/>
    <mergeCell ref="D15:D18"/>
  </mergeCells>
  <pageMargins left="0.7" right="0.7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软件开发评审明细表</vt:lpstr>
      <vt:lpstr>XXX系统功能点</vt:lpstr>
      <vt:lpstr>调整因子</vt:lpstr>
      <vt:lpstr>功能点测算规模、工作量、工期、费用表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孙全宝</cp:lastModifiedBy>
  <dcterms:created xsi:type="dcterms:W3CDTF">2015-06-06T02:19:00Z</dcterms:created>
  <dcterms:modified xsi:type="dcterms:W3CDTF">2026-06-06T10:03:55Z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302D4A93507148A18E00D9D3C6EC58F1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