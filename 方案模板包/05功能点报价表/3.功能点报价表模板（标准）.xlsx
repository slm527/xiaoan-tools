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260" windowHeight="12640" tabRatio="869" activeTab="3"/>
  </bookViews>
  <sheets>
    <sheet name="2-功能点辅助规划（内部用不对外）" sheetId="16" r:id="rId1"/>
    <sheet name="2-项目参数" sheetId="18" r:id="rId2"/>
    <sheet name="2-直接非人力成本测算表" sheetId="20" r:id="rId3"/>
    <sheet name="2-功能点清单" sheetId="17" r:id="rId4"/>
    <sheet name="2-软件计算过程-预估规模" sheetId="19" r:id="rId5"/>
    <sheet name="2-软件计算过程-估算规模" sheetId="1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topnet</author>
  </authors>
  <commentList>
    <comment ref="B4" authorId="0">
      <text>
        <r>
          <rPr>
            <b/>
            <sz val="9"/>
            <rFont val="宋体"/>
            <charset val="134"/>
          </rPr>
          <t>topnet:</t>
        </r>
        <r>
          <rPr>
            <sz val="9"/>
            <rFont val="宋体"/>
            <charset val="134"/>
          </rPr>
          <t xml:space="preserve">
注：质量特性调整因子=（分布式处理因子 + 性能因子 + 可靠性因子 + 多重站点因子）×0.025 + 1 </t>
        </r>
      </text>
    </comment>
    <comment ref="F9" authorId="0">
      <text>
        <r>
          <rPr>
            <b/>
            <sz val="9"/>
            <rFont val="宋体"/>
            <charset val="134"/>
          </rPr>
          <t>topnet:</t>
        </r>
        <r>
          <rPr>
            <sz val="9"/>
            <rFont val="宋体"/>
            <charset val="134"/>
          </rPr>
          <t xml:space="preserve">
在预算阶段，复用度调整系数通常取值为1（假设复用度低）；</t>
        </r>
      </text>
    </comment>
    <comment ref="F10" authorId="0">
      <text>
        <r>
          <rPr>
            <b/>
            <sz val="9"/>
            <rFont val="宋体"/>
            <charset val="134"/>
          </rPr>
          <t>topnet:</t>
        </r>
        <r>
          <rPr>
            <sz val="9"/>
            <rFont val="宋体"/>
            <charset val="134"/>
          </rPr>
          <t xml:space="preserve">
规模变更调整因子预算时取值为1.39，招标时取值为1.22</t>
        </r>
      </text>
    </comment>
  </commentList>
</comments>
</file>

<file path=xl/comments2.xml><?xml version="1.0" encoding="utf-8"?>
<comments xmlns="http://schemas.openxmlformats.org/spreadsheetml/2006/main">
  <authors>
    <author>作者</author>
  </authors>
  <commentList>
    <comment ref="E1" authorId="0">
      <text>
        <r>
          <rPr>
            <sz val="9"/>
            <rFont val="宋体"/>
            <charset val="134"/>
          </rPr>
          <t xml:space="preserve">请选择重用程度，缺省为“低”。
该部分的整体复用程度是开发方开发过类似功能
</t>
        </r>
      </text>
    </comment>
  </commentList>
</comments>
</file>

<file path=xl/comments3.xml><?xml version="1.0" encoding="utf-8"?>
<comments xmlns="http://schemas.openxmlformats.org/spreadsheetml/2006/main">
  <authors>
    <author>topnet</author>
  </authors>
  <commentList>
    <comment ref="B2" authorId="0">
      <text>
        <r>
          <rPr>
            <b/>
            <sz val="9"/>
            <rFont val="宋体"/>
            <charset val="134"/>
          </rPr>
          <t>topnet:</t>
        </r>
        <r>
          <rPr>
            <sz val="9"/>
            <rFont val="宋体"/>
            <charset val="134"/>
          </rPr>
          <t xml:space="preserve">
该部分的整体复用程度是开发方开发
过类似功能</t>
        </r>
      </text>
    </comment>
    <comment ref="H11" authorId="0">
      <text>
        <r>
          <rPr>
            <b/>
            <sz val="9"/>
            <rFont val="宋体"/>
            <charset val="134"/>
          </rPr>
          <t>topnet:</t>
        </r>
        <r>
          <rPr>
            <sz val="9"/>
            <rFont val="宋体"/>
            <charset val="134"/>
          </rPr>
          <t xml:space="preserve">
取调整复用度的数据</t>
        </r>
      </text>
    </comment>
    <comment ref="I28" authorId="0">
      <text>
        <r>
          <rPr>
            <b/>
            <sz val="9"/>
            <rFont val="宋体"/>
            <charset val="134"/>
          </rPr>
          <t>topnet:</t>
        </r>
        <r>
          <rPr>
            <sz val="9"/>
            <rFont val="宋体"/>
            <charset val="134"/>
          </rPr>
          <t xml:space="preserve">
功能点单价，不包含直接非人力成本
</t>
        </r>
      </text>
    </comment>
  </commentList>
</comments>
</file>

<file path=xl/comments4.xml><?xml version="1.0" encoding="utf-8"?>
<comments xmlns="http://schemas.openxmlformats.org/spreadsheetml/2006/main">
  <authors>
    <author>topnet</author>
  </authors>
  <commentList>
    <comment ref="G10" authorId="0">
      <text>
        <r>
          <rPr>
            <b/>
            <sz val="9"/>
            <rFont val="宋体"/>
            <charset val="134"/>
          </rPr>
          <t>topnet:</t>
        </r>
        <r>
          <rPr>
            <sz val="9"/>
            <rFont val="宋体"/>
            <charset val="134"/>
          </rPr>
          <t xml:space="preserve">
取调整复用度的数据</t>
        </r>
      </text>
    </comment>
    <comment ref="H27" authorId="0">
      <text>
        <r>
          <rPr>
            <b/>
            <sz val="9"/>
            <rFont val="宋体"/>
            <charset val="134"/>
          </rPr>
          <t>topnet:</t>
        </r>
        <r>
          <rPr>
            <sz val="9"/>
            <rFont val="宋体"/>
            <charset val="134"/>
          </rPr>
          <t xml:space="preserve">
需要明确</t>
        </r>
      </text>
    </comment>
  </commentList>
</comments>
</file>

<file path=xl/sharedStrings.xml><?xml version="1.0" encoding="utf-8"?>
<sst xmlns="http://schemas.openxmlformats.org/spreadsheetml/2006/main" count="354" uniqueCount="169">
  <si>
    <t>芜湖市智慧信用综合监管系统</t>
  </si>
  <si>
    <t>序号</t>
  </si>
  <si>
    <t>应用系统名称</t>
  </si>
  <si>
    <t>功能点计数合计</t>
  </si>
  <si>
    <t>功能点数</t>
  </si>
  <si>
    <t>人工成本</t>
  </si>
  <si>
    <t>功能点计数项</t>
  </si>
  <si>
    <t>功能点计数项数量
F</t>
  </si>
  <si>
    <t>功能点权重值
P</t>
  </si>
  <si>
    <t>未调整功点数
UFP=F*P</t>
  </si>
  <si>
    <t>功能点数
合计S</t>
  </si>
  <si>
    <t xml:space="preserve">功能点数
</t>
  </si>
  <si>
    <t xml:space="preserve">工作量合计
(月)
</t>
  </si>
  <si>
    <t>基准人工费
（万元/月）</t>
  </si>
  <si>
    <t>人月费用调整</t>
  </si>
  <si>
    <t xml:space="preserve">合计费用
（万元） </t>
  </si>
  <si>
    <t>预估金额
(万元）</t>
  </si>
  <si>
    <t>功能点计数项费用占比</t>
  </si>
  <si>
    <t>合计</t>
  </si>
  <si>
    <t>一</t>
  </si>
  <si>
    <t>服务业评价综合管理系统</t>
  </si>
  <si>
    <t>部门看板</t>
  </si>
  <si>
    <t>看板展示</t>
  </si>
  <si>
    <t>ILF</t>
  </si>
  <si>
    <t>EIF</t>
  </si>
  <si>
    <t>EI</t>
  </si>
  <si>
    <t>EO</t>
  </si>
  <si>
    <t>EQ</t>
  </si>
  <si>
    <t>看板展示2</t>
  </si>
  <si>
    <t>评价结果</t>
  </si>
  <si>
    <t>亩均一张图</t>
  </si>
  <si>
    <t>二</t>
  </si>
  <si>
    <t>模型管理(市级)</t>
  </si>
  <si>
    <t>数据模型AABB</t>
  </si>
  <si>
    <t>评价结果统计</t>
  </si>
  <si>
    <t>项目参数设定</t>
  </si>
  <si>
    <t>应用类型调整因子参数表</t>
  </si>
  <si>
    <t>应用类型调整因子</t>
  </si>
  <si>
    <t xml:space="preserve">业务处理 </t>
  </si>
  <si>
    <t>应用类型</t>
  </si>
  <si>
    <t>范围</t>
  </si>
  <si>
    <t>调整因子</t>
  </si>
  <si>
    <t>质量特征调整因子</t>
  </si>
  <si>
    <t>分布式处理</t>
  </si>
  <si>
    <t>在多个服务器及处理器上同时相互执行应用中的处理功能</t>
  </si>
  <si>
    <t xml:space="preserve">办公自动化系统；人事、会计、工资、销售等经营管理及业务处理用软件等 </t>
  </si>
  <si>
    <t>性能</t>
  </si>
  <si>
    <t>为满足性能需求事项，要求设计阶段进行性能分析，或在设计、开发阶段使用分析工具</t>
  </si>
  <si>
    <t>应用集成</t>
  </si>
  <si>
    <t>企业服务总线、应用集成等</t>
  </si>
  <si>
    <t>可靠性</t>
  </si>
  <si>
    <t>发生故障时可轻易修复，带来一定不便或经济损失</t>
  </si>
  <si>
    <t>科技</t>
  </si>
  <si>
    <t>科学计算、模拟、统计等</t>
  </si>
  <si>
    <t>多重站点</t>
  </si>
  <si>
    <t>在不同用途的硬件或软件环境下运行</t>
  </si>
  <si>
    <t>多媒体</t>
  </si>
  <si>
    <t>图形、影像、声音等多媒体应用领域；地理信息系统；教育和娱乐应用等</t>
  </si>
  <si>
    <t>开发语言调整因子</t>
  </si>
  <si>
    <t>JAVA、C++、C#及其他同级别语言/平台</t>
  </si>
  <si>
    <t>智能信息</t>
  </si>
  <si>
    <t>自然语言处理、人工智能、专家系统等</t>
  </si>
  <si>
    <t>复用度调整系数</t>
  </si>
  <si>
    <t>系统</t>
  </si>
  <si>
    <t>操作系统、数据库系统、集成开发环境、自动化开发/设计工具等</t>
  </si>
  <si>
    <t>规模变更调整因子</t>
  </si>
  <si>
    <t>项目预估阶段</t>
  </si>
  <si>
    <t>通信控制</t>
  </si>
  <si>
    <t>通信协议、仿真、交换机软件、全球定位系统等</t>
  </si>
  <si>
    <t>开发团队背景调整因子</t>
  </si>
  <si>
    <t>为其他行业开发过类似的项目，或为本行业开发过不同但相关的项目</t>
  </si>
  <si>
    <t>流程控制</t>
  </si>
  <si>
    <t>生产管理、仪器控制、机器人控制、实时控制、嵌入式软件等</t>
  </si>
  <si>
    <t>单功能点耗时率</t>
  </si>
  <si>
    <t>基准人月费用</t>
  </si>
  <si>
    <t>开发语言调整因子参数表</t>
  </si>
  <si>
    <t>参考《DB11T1010-2019信息化项目软件开发费用测算规范（发布稿）》
CSBMK-2020年中国软件行业基准数据</t>
  </si>
  <si>
    <t>语言分类</t>
  </si>
  <si>
    <t>C及其他同级别语言/平台</t>
  </si>
  <si>
    <t>PowerBuilder、ASP及其他同级别语言/平台</t>
  </si>
  <si>
    <t>开发团队背景调整因子参数表</t>
  </si>
  <si>
    <t>判断标准</t>
  </si>
  <si>
    <t>影响度</t>
  </si>
  <si>
    <t>为本行业开发过类似的项目</t>
  </si>
  <si>
    <t>没有同类项目的背景</t>
  </si>
  <si>
    <t>质量特征调整因子参数表</t>
  </si>
  <si>
    <t>没有明示对分布式处理的需求事项</t>
  </si>
  <si>
    <t>通过网络进行客户端/服务器及网络基础应用分布处理和传输</t>
  </si>
  <si>
    <t>没有明示对性能的特别需求事项或活动，因此提供基本性能</t>
  </si>
  <si>
    <t>应答时间或处理率对高峰时间或所有业务时间都很重要，对连动系统结束处理时间有限制</t>
  </si>
  <si>
    <t>没有明示对可靠性的特别需求事项或活动，因此提供基本的可靠性</t>
  </si>
  <si>
    <t>发生故障时很难修复，发生重大经济损失或有生命危害</t>
  </si>
  <si>
    <t>在相同用途的硬件或软件环境下运行</t>
  </si>
  <si>
    <t>在用途类似的硬件或软件环境下运行</t>
  </si>
  <si>
    <t>注：质量特性调整因子=（分布式处理因子 + 性能因子 + 可靠性因子 + 多重站点因子）×0.025 + 1</t>
  </si>
  <si>
    <t>规模调整因子参数表</t>
  </si>
  <si>
    <t>项目估算阶段（投标）</t>
  </si>
  <si>
    <t>直接非人力成本测算表</t>
  </si>
  <si>
    <t>分项</t>
  </si>
  <si>
    <t>金额（元）</t>
  </si>
  <si>
    <t>备注</t>
  </si>
  <si>
    <t>说明</t>
  </si>
  <si>
    <t>办公费</t>
  </si>
  <si>
    <t>开发方为开发此项目而产生的行政办公费用，如办公用品、通讯、邮寄、印刷、会议等。
示例 1：项目成员因项目加班而产生的餐费宜计入直接非人力成本中的办公费，而项目成员的工作午餐费宜计入直接人力成本。
示例 2：项目组封闭开发租用会议室而产生的费用宜计入直接非人力成本中的办公费，而研发部例会租用会议室产生的费用宜按照间接非人力成本。</t>
  </si>
  <si>
    <t>差旅费</t>
  </si>
  <si>
    <t>开发方为开发此项目而产生的差旅费用，如交通、住宿、差旅补贴等。</t>
  </si>
  <si>
    <t>培训费</t>
  </si>
  <si>
    <t>开发方为开发此项目而安排的培训产生的费用。</t>
  </si>
  <si>
    <t>业务费</t>
  </si>
  <si>
    <t>开发方为完成此项目开发工作所需辅助活动产生的费用，如评审费、验收费等。</t>
  </si>
  <si>
    <t>采购费</t>
  </si>
  <si>
    <t xml:space="preserve">开发方为开发此项目而需特殊采购专用资产或服务的费用，如专用设备费、专用软件费、技术协作费、专利费等。示例：为项目采购专用测试软件的成本宜计入直接非人力成本中的采购费，日常办公用软件的成本宜按照间接非人力成本进行分摊。
</t>
  </si>
  <si>
    <t>其它</t>
  </si>
  <si>
    <t xml:space="preserve">未在以上项目列出但确系开发方为开发此项目所需花费的费用。
</t>
  </si>
  <si>
    <t xml:space="preserve">测算责任人：
测算日期：       年       月       日
</t>
  </si>
  <si>
    <t>功能点计数项名称</t>
  </si>
  <si>
    <t>功能点计数项类别</t>
  </si>
  <si>
    <t>重用程度</t>
  </si>
  <si>
    <t>XXX系统</t>
  </si>
  <si>
    <t>XXX子系统</t>
  </si>
  <si>
    <t>XXX功能</t>
  </si>
  <si>
    <t>低</t>
  </si>
  <si>
    <t>中</t>
  </si>
  <si>
    <t>高</t>
  </si>
  <si>
    <t>预估规模</t>
  </si>
  <si>
    <t>功能点预估规模、工作量、费用表</t>
  </si>
  <si>
    <t>功能类型</t>
  </si>
  <si>
    <t>不同复用度文件数</t>
  </si>
  <si>
    <t>功能点数合计</t>
  </si>
  <si>
    <t>1.未调整功能点数 UFP（功能点）</t>
  </si>
  <si>
    <t>经过复用调整后的功能点数 US（功能点）</t>
  </si>
  <si>
    <t>-</t>
  </si>
  <si>
    <t>设定规模变更因子 CF</t>
  </si>
  <si>
    <t>2.调整后的功能点数 S（功能点）</t>
  </si>
  <si>
    <t>S=UFP×CF（不调整复用度）</t>
  </si>
  <si>
    <t>ILF合计</t>
  </si>
  <si>
    <t>S=US×CF（调整复用度）</t>
  </si>
  <si>
    <t>基准数据（生产率）</t>
  </si>
  <si>
    <t>P25（人时/功能点）</t>
  </si>
  <si>
    <t>P50（人时/功能点）</t>
  </si>
  <si>
    <t>EIF合计</t>
  </si>
  <si>
    <t>P75（人时/功能点）</t>
  </si>
  <si>
    <t>US（ILF计数合计+ EIF计数合计）</t>
  </si>
  <si>
    <t xml:space="preserve">3.未调整的工作量 UE（人时）
计算公式：UE=PDR×S </t>
  </si>
  <si>
    <t>下限（人时）</t>
  </si>
  <si>
    <t>规模变更调整因子：</t>
  </si>
  <si>
    <t>最有可能（人时）</t>
  </si>
  <si>
    <t>S（调整后规模总计）：</t>
  </si>
  <si>
    <t>上限（人时）</t>
  </si>
  <si>
    <t>该部分的整体复用程度是开发方开发过类似功能</t>
  </si>
  <si>
    <t>设定调整因子</t>
  </si>
  <si>
    <t xml:space="preserve">应用类型调整因子 AT </t>
  </si>
  <si>
    <t>质量特征调整因子 QR</t>
  </si>
  <si>
    <t>开发语言调整因子 SL</t>
  </si>
  <si>
    <t>开发团队背景调整因子 DT</t>
  </si>
  <si>
    <t>4.调整后的工作量 AE（人时）
计算公式：AE=UE×SWF×RDF；
其中 SWF=AT×QR，RDF=SL×DT</t>
  </si>
  <si>
    <t>人月折算系数 HM（人时/人月）</t>
  </si>
  <si>
    <t>平均人力成本费率（含直接人力成本和间接成本+开发方毛利润）F（元/人月）</t>
  </si>
  <si>
    <t>直接非人力成本合计 DNC（元）</t>
  </si>
  <si>
    <t>5.软件开发费用（元）
计算公式：P=AE/HM×F +DNC</t>
  </si>
  <si>
    <t>下限（元）</t>
  </si>
  <si>
    <t>最有可能（元）</t>
  </si>
  <si>
    <t>上限（元）</t>
  </si>
  <si>
    <t>最终费用/价格（元）</t>
  </si>
  <si>
    <t>功能点单价（元/功能点）</t>
  </si>
  <si>
    <t>测算规模</t>
  </si>
  <si>
    <t>功能点测算规模、工作量、费用表</t>
  </si>
  <si>
    <t xml:space="preserve">1.未调整功能点数 UFP（功能点）
</t>
  </si>
  <si>
    <t xml:space="preserve">经过复用调整后的功能点数 US（功能点）
</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</si>
</sst>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176" formatCode="_ \¥* #,##0.00_ ;_ \¥* \-#,##0.00_ ;_ \¥* &quot;-&quot;??_ ;_ @_ "/>
    <numFmt numFmtId="177" formatCode="_ [$¥-804]* #,##0.00_ ;_ [$¥-804]* \-#,##0.00_ ;_ [$¥-804]* &quot;-&quot;??_ ;_ @_ "/>
    <numFmt numFmtId="178" formatCode="0.0000"/>
  </numFmts>
  <fonts count="33">
    <font>
      <sz val="11"/>
      <color theme="1"/>
      <name val="等线"/>
      <charset val="134"/>
      <scheme val="minor"/>
    </font>
    <font>
      <b/>
      <sz val="13"/>
      <color theme="3"/>
      <name val="等线"/>
      <charset val="134"/>
      <scheme val="minor"/>
    </font>
    <font>
      <sz val="11"/>
      <color rgb="FFFF0000"/>
      <name val="等线"/>
      <charset val="134"/>
      <scheme val="minor"/>
    </font>
    <font>
      <sz val="11"/>
      <color rgb="FFFF0000"/>
      <name val="等线"/>
      <charset val="134"/>
      <scheme val="minor"/>
    </font>
    <font>
      <sz val="11"/>
      <color theme="1"/>
      <name val="宋体"/>
      <charset val="134"/>
    </font>
    <font>
      <b/>
      <sz val="11"/>
      <color rgb="FF000000"/>
      <name val="宋体"/>
      <charset val="134"/>
    </font>
    <font>
      <b/>
      <sz val="11"/>
      <color theme="1"/>
      <name val="宋体"/>
      <charset val="134"/>
    </font>
    <font>
      <sz val="11"/>
      <name val="等线"/>
      <charset val="134"/>
      <scheme val="minor"/>
    </font>
    <font>
      <sz val="11"/>
      <name val="宋体"/>
      <charset val="134"/>
    </font>
    <font>
      <b/>
      <sz val="11"/>
      <color theme="1"/>
      <name val="Arial"/>
      <charset val="134"/>
    </font>
    <font>
      <b/>
      <sz val="11"/>
      <color theme="1"/>
      <name val="等线"/>
      <charset val="134"/>
      <scheme val="minor"/>
    </font>
    <font>
      <sz val="11"/>
      <color rgb="FF9C65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theme="0"/>
      <name val="等线"/>
      <charset val="0"/>
      <scheme val="minor"/>
    </font>
    <font>
      <sz val="11"/>
      <color theme="1"/>
      <name val="等线"/>
      <charset val="0"/>
      <scheme val="minor"/>
    </font>
    <font>
      <sz val="11"/>
      <color theme="1"/>
      <name val="等线"/>
      <charset val="134"/>
      <scheme val="minor"/>
    </font>
    <font>
      <sz val="9"/>
      <name val="宋体"/>
      <charset val="134"/>
    </font>
    <font>
      <b/>
      <sz val="9"/>
      <name val="宋体"/>
      <charset val="134"/>
    </font>
  </fonts>
  <fills count="38">
    <fill>
      <patternFill patternType="none"/>
    </fill>
    <fill>
      <patternFill patternType="gray125"/>
    </fill>
    <fill>
      <patternFill patternType="solid">
        <fgColor rgb="FFFFFF00"/>
        <bgColor indexed="64"/>
      </patternFill>
    </fill>
    <fill>
      <patternFill patternType="solid">
        <fgColor theme="4" tint="0.399945066682943"/>
        <bgColor indexed="64"/>
      </patternFill>
    </fill>
    <fill>
      <patternFill patternType="solid">
        <fgColor theme="5" tint="0.599993896298105"/>
        <bgColor indexed="64"/>
      </patternFill>
    </fill>
    <fill>
      <patternFill patternType="solid">
        <fgColor theme="0" tint="-0.249977111117893"/>
        <bgColor indexed="64"/>
      </patternFill>
    </fill>
    <fill>
      <patternFill patternType="solid">
        <fgColor rgb="FFFFEB9C"/>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right/>
      <top/>
      <bottom style="thick">
        <color theme="4" tint="0.499984740745262"/>
      </bottom>
      <diagonal/>
    </border>
    <border>
      <left style="thin">
        <color auto="1"/>
      </left>
      <right style="thin">
        <color auto="1"/>
      </right>
      <top style="thin">
        <color auto="1"/>
      </top>
      <bottom style="thin">
        <color auto="1"/>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12"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8" borderId="3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8" applyNumberFormat="0" applyFill="0" applyAlignment="0" applyProtection="0">
      <alignment vertical="center"/>
    </xf>
    <xf numFmtId="0" fontId="1" fillId="0" borderId="1" applyNumberFormat="0" applyFill="0" applyAlignment="0" applyProtection="0">
      <alignment vertical="center"/>
    </xf>
    <xf numFmtId="0" fontId="19" fillId="0" borderId="39" applyNumberFormat="0" applyFill="0" applyAlignment="0" applyProtection="0">
      <alignment vertical="center"/>
    </xf>
    <xf numFmtId="0" fontId="19" fillId="0" borderId="0" applyNumberFormat="0" applyFill="0" applyBorder="0" applyAlignment="0" applyProtection="0">
      <alignment vertical="center"/>
    </xf>
    <xf numFmtId="0" fontId="20" fillId="9" borderId="40" applyNumberFormat="0" applyAlignment="0" applyProtection="0">
      <alignment vertical="center"/>
    </xf>
    <xf numFmtId="0" fontId="21" fillId="10" borderId="41" applyNumberFormat="0" applyAlignment="0" applyProtection="0">
      <alignment vertical="center"/>
    </xf>
    <xf numFmtId="0" fontId="22" fillId="10" borderId="40" applyNumberFormat="0" applyAlignment="0" applyProtection="0">
      <alignment vertical="center"/>
    </xf>
    <xf numFmtId="0" fontId="23" fillId="11" borderId="42" applyNumberFormat="0" applyAlignment="0" applyProtection="0">
      <alignment vertical="center"/>
    </xf>
    <xf numFmtId="0" fontId="24" fillId="0" borderId="43" applyNumberFormat="0" applyFill="0" applyAlignment="0" applyProtection="0">
      <alignment vertical="center"/>
    </xf>
    <xf numFmtId="0" fontId="25" fillId="0" borderId="44" applyNumberFormat="0" applyFill="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11" fillId="6"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0" fillId="0" borderId="0"/>
    <xf numFmtId="0" fontId="30" fillId="0" borderId="0"/>
  </cellStyleXfs>
  <cellXfs count="117">
    <xf numFmtId="0" fontId="0" fillId="0" borderId="0" xfId="0">
      <alignment vertical="center"/>
    </xf>
    <xf numFmtId="0" fontId="1" fillId="0" borderId="1" xfId="13" applyAlignment="1">
      <alignment horizontal="center" vertical="center"/>
    </xf>
    <xf numFmtId="0" fontId="1" fillId="0" borderId="1" xfId="13"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0"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2" borderId="4" xfId="0"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2" fillId="0" borderId="14" xfId="0" applyFont="1" applyBorder="1" applyAlignment="1">
      <alignment horizontal="left" vertical="center" wrapText="1"/>
    </xf>
    <xf numFmtId="0" fontId="3" fillId="0" borderId="14" xfId="0" applyFont="1" applyBorder="1" applyAlignment="1">
      <alignment horizontal="left" vertical="center" wrapText="1"/>
    </xf>
    <xf numFmtId="176" fontId="0" fillId="0" borderId="4" xfId="2" applyFont="1" applyBorder="1" applyAlignment="1">
      <alignment horizontal="center" vertical="center" wrapText="1"/>
    </xf>
    <xf numFmtId="176" fontId="0" fillId="0" borderId="10" xfId="0" applyNumberFormat="1" applyBorder="1" applyAlignment="1">
      <alignment horizontal="center" vertical="center" wrapText="1"/>
    </xf>
    <xf numFmtId="0" fontId="4" fillId="0" borderId="0" xfId="0" applyFont="1" applyAlignment="1">
      <alignment horizontal="center" vertical="center"/>
    </xf>
    <xf numFmtId="0" fontId="5" fillId="0" borderId="15" xfId="0" applyFont="1" applyBorder="1" applyAlignment="1">
      <alignment horizontal="center" vertical="center" wrapText="1"/>
    </xf>
    <xf numFmtId="0" fontId="6" fillId="0" borderId="16" xfId="0" applyFont="1" applyFill="1" applyBorder="1" applyAlignment="1">
      <alignment horizontal="center" vertical="center" wrapText="1"/>
    </xf>
    <xf numFmtId="0" fontId="5" fillId="0" borderId="17" xfId="0" applyFont="1" applyBorder="1" applyAlignment="1">
      <alignment horizontal="center" vertical="center" wrapText="1"/>
    </xf>
    <xf numFmtId="0" fontId="6" fillId="0" borderId="7"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6" fillId="5" borderId="2" xfId="49" applyFont="1" applyFill="1" applyBorder="1" applyAlignment="1">
      <alignment horizontal="center"/>
    </xf>
    <xf numFmtId="0" fontId="4" fillId="0" borderId="19" xfId="0" applyFont="1" applyBorder="1" applyAlignment="1">
      <alignment horizontal="center" vertical="center" wrapText="1"/>
    </xf>
    <xf numFmtId="0" fontId="4" fillId="0" borderId="2" xfId="0" applyFont="1" applyBorder="1" applyAlignment="1">
      <alignment horizontal="center" vertical="center" wrapText="1"/>
    </xf>
    <xf numFmtId="0" fontId="7" fillId="0" borderId="2" xfId="0" applyFont="1" applyFill="1" applyBorder="1" applyAlignment="1"/>
    <xf numFmtId="0" fontId="8" fillId="0" borderId="2"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0" borderId="2" xfId="0" applyFont="1" applyBorder="1" applyAlignment="1">
      <alignment horizontal="center" vertical="center" wrapText="1"/>
    </xf>
    <xf numFmtId="0" fontId="7" fillId="0" borderId="2" xfId="0" applyFont="1" applyBorder="1" applyAlignment="1"/>
    <xf numFmtId="0" fontId="0" fillId="0" borderId="0" xfId="0" applyAlignment="1">
      <alignment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3" xfId="0" applyBorder="1" applyAlignment="1">
      <alignment vertical="center" wrapText="1"/>
    </xf>
    <xf numFmtId="0" fontId="0" fillId="0" borderId="0" xfId="0" applyBorder="1" applyAlignment="1">
      <alignment vertical="center" wrapText="1"/>
    </xf>
    <xf numFmtId="0" fontId="0" fillId="0" borderId="4" xfId="0" applyBorder="1" applyAlignment="1">
      <alignment vertical="center" wrapText="1"/>
    </xf>
    <xf numFmtId="176" fontId="0" fillId="0" borderId="0" xfId="2" applyFont="1" applyBorder="1" applyAlignment="1">
      <alignment vertical="center" wrapText="1"/>
    </xf>
    <xf numFmtId="176" fontId="0" fillId="0" borderId="9" xfId="2" applyFont="1" applyBorder="1" applyAlignment="1">
      <alignmen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1" fillId="0" borderId="0" xfId="13" applyBorder="1" applyAlignment="1">
      <alignment horizontal="center" vertical="center" wrapText="1"/>
    </xf>
    <xf numFmtId="0" fontId="0" fillId="0" borderId="15"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17" xfId="0" applyBorder="1" applyAlignment="1">
      <alignment horizontal="center" vertical="center" wrapText="1"/>
    </xf>
    <xf numFmtId="0" fontId="0" fillId="0" borderId="2" xfId="0" applyBorder="1" applyAlignment="1">
      <alignment horizontal="center" vertical="center" wrapText="1"/>
    </xf>
    <xf numFmtId="0" fontId="0" fillId="4" borderId="2" xfId="0" applyFill="1" applyBorder="1" applyAlignment="1">
      <alignment horizontal="center" vertical="center" wrapText="1"/>
    </xf>
    <xf numFmtId="0" fontId="0" fillId="0" borderId="26" xfId="0" applyBorder="1" applyAlignment="1">
      <alignment horizontal="center" vertical="center" wrapText="1"/>
    </xf>
    <xf numFmtId="0" fontId="0" fillId="0" borderId="17" xfId="0" applyBorder="1" applyAlignment="1">
      <alignment horizontal="center" vertical="center"/>
    </xf>
    <xf numFmtId="0" fontId="0" fillId="0" borderId="26" xfId="0" applyBorder="1" applyAlignment="1">
      <alignment horizontal="center" vertical="center"/>
    </xf>
    <xf numFmtId="0" fontId="0" fillId="0" borderId="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4" borderId="26" xfId="0" applyFill="1" applyBorder="1" applyAlignment="1">
      <alignment horizontal="center" vertical="center" wrapText="1"/>
    </xf>
    <xf numFmtId="0" fontId="0" fillId="0" borderId="18"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4" borderId="27" xfId="0" applyFill="1" applyBorder="1" applyAlignment="1">
      <alignment horizontal="center" vertical="center" wrapText="1"/>
    </xf>
    <xf numFmtId="0" fontId="2" fillId="0" borderId="28" xfId="0" applyFont="1" applyBorder="1" applyAlignment="1">
      <alignment horizontal="left" vertical="top" wrapText="1"/>
    </xf>
    <xf numFmtId="0" fontId="2" fillId="0" borderId="29" xfId="0" applyFont="1" applyBorder="1" applyAlignment="1">
      <alignment horizontal="left" vertical="top" wrapText="1"/>
    </xf>
    <xf numFmtId="0" fontId="3" fillId="0" borderId="29" xfId="0" applyFont="1" applyBorder="1" applyAlignment="1">
      <alignment vertical="top" wrapText="1"/>
    </xf>
    <xf numFmtId="0" fontId="3" fillId="0" borderId="30" xfId="0" applyFont="1" applyBorder="1" applyAlignment="1">
      <alignment vertical="top" wrapText="1"/>
    </xf>
    <xf numFmtId="0" fontId="0" fillId="0" borderId="22" xfId="0" applyBorder="1" applyAlignment="1">
      <alignment horizontal="left" vertical="center" wrapText="1"/>
    </xf>
    <xf numFmtId="0" fontId="0" fillId="0" borderId="0" xfId="0" applyFont="1" applyAlignment="1">
      <alignment horizontal="center" vertical="center"/>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176" fontId="0" fillId="0" borderId="31" xfId="2" applyFont="1" applyBorder="1" applyAlignment="1">
      <alignment horizontal="center" vertical="center" wrapText="1"/>
    </xf>
    <xf numFmtId="0" fontId="0" fillId="0" borderId="24" xfId="0" applyFill="1" applyBorder="1">
      <alignment vertical="center"/>
    </xf>
    <xf numFmtId="0" fontId="0" fillId="0" borderId="23" xfId="0" applyBorder="1">
      <alignment vertical="center"/>
    </xf>
    <xf numFmtId="0" fontId="9" fillId="0" borderId="7" xfId="0" applyFont="1" applyFill="1" applyBorder="1" applyAlignment="1">
      <alignment horizontal="center" vertical="center" wrapText="1"/>
    </xf>
    <xf numFmtId="177" fontId="0" fillId="0" borderId="2" xfId="0" applyNumberFormat="1" applyBorder="1" applyAlignment="1">
      <alignment horizontal="center" vertical="center" wrapText="1"/>
    </xf>
    <xf numFmtId="176" fontId="0" fillId="0" borderId="11" xfId="2" applyFont="1" applyBorder="1" applyAlignment="1">
      <alignment horizontal="center" vertical="center" wrapText="1"/>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4" xfId="0" applyBorder="1" applyAlignment="1">
      <alignment horizontal="center" vertical="center"/>
    </xf>
    <xf numFmtId="0" fontId="5" fillId="3" borderId="0"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5" fillId="4" borderId="0" xfId="0" applyFont="1" applyFill="1" applyBorder="1" applyAlignment="1">
      <alignment horizontal="left" vertical="center" wrapText="1"/>
    </xf>
    <xf numFmtId="0" fontId="10" fillId="5" borderId="2" xfId="49" applyFont="1" applyFill="1" applyBorder="1" applyAlignment="1">
      <alignment horizontal="center"/>
    </xf>
    <xf numFmtId="0" fontId="10" fillId="5" borderId="2" xfId="49" applyFont="1" applyFill="1" applyBorder="1"/>
    <xf numFmtId="0" fontId="4" fillId="0" borderId="5" xfId="0" applyFont="1" applyBorder="1" applyAlignment="1">
      <alignment horizontal="center" vertical="center" wrapText="1"/>
    </xf>
    <xf numFmtId="0" fontId="11" fillId="2" borderId="2" xfId="24" applyFill="1" applyBorder="1" applyAlignment="1">
      <alignment horizontal="center" vertical="center" wrapText="1"/>
    </xf>
    <xf numFmtId="0" fontId="0" fillId="0" borderId="2" xfId="0" applyFill="1" applyBorder="1" applyAlignment="1">
      <alignment vertical="center" wrapText="1"/>
    </xf>
    <xf numFmtId="0" fontId="0" fillId="0" borderId="5" xfId="0" applyFill="1" applyBorder="1" applyAlignment="1">
      <alignment horizontal="center" vertical="center" wrapText="1"/>
    </xf>
    <xf numFmtId="178" fontId="0" fillId="0" borderId="2" xfId="0" applyNumberFormat="1" applyFill="1" applyBorder="1" applyAlignment="1">
      <alignment horizontal="center" vertical="center" wrapText="1"/>
    </xf>
    <xf numFmtId="0" fontId="11" fillId="6" borderId="2" xfId="24" applyBorder="1" applyAlignment="1">
      <alignment horizontal="center" vertical="center" wrapText="1"/>
    </xf>
    <xf numFmtId="9" fontId="0" fillId="0" borderId="5" xfId="3" applyFont="1" applyFill="1" applyBorder="1" applyAlignment="1">
      <alignment horizontal="center" vertical="center" wrapText="1"/>
    </xf>
    <xf numFmtId="0" fontId="0" fillId="7" borderId="5" xfId="0" applyFill="1" applyBorder="1" applyAlignment="1">
      <alignment horizontal="center" vertical="center"/>
    </xf>
    <xf numFmtId="9" fontId="0" fillId="7" borderId="5" xfId="0" applyNumberFormat="1" applyFill="1" applyBorder="1" applyAlignment="1">
      <alignment vertical="center"/>
    </xf>
    <xf numFmtId="0" fontId="0" fillId="0" borderId="34" xfId="0" applyBorder="1" applyAlignment="1">
      <alignment vertical="center"/>
    </xf>
    <xf numFmtId="0" fontId="4" fillId="0" borderId="6" xfId="0" applyFont="1" applyBorder="1" applyAlignment="1">
      <alignment horizontal="center" vertical="center" wrapText="1"/>
    </xf>
    <xf numFmtId="0" fontId="0" fillId="0" borderId="6" xfId="0" applyFill="1" applyBorder="1" applyAlignment="1">
      <alignment horizontal="center" vertical="center" wrapText="1"/>
    </xf>
    <xf numFmtId="9" fontId="0" fillId="0" borderId="6" xfId="3" applyFont="1" applyFill="1" applyBorder="1" applyAlignment="1">
      <alignment horizontal="center" vertical="center" wrapText="1"/>
    </xf>
    <xf numFmtId="0" fontId="0" fillId="7" borderId="6" xfId="0" applyFill="1" applyBorder="1" applyAlignment="1">
      <alignment horizontal="center" vertical="center"/>
    </xf>
    <xf numFmtId="9" fontId="0" fillId="7" borderId="6" xfId="0" applyNumberFormat="1" applyFill="1" applyBorder="1" applyAlignment="1">
      <alignment vertical="center"/>
    </xf>
    <xf numFmtId="0" fontId="4" fillId="0" borderId="35" xfId="0" applyFont="1" applyBorder="1" applyAlignment="1">
      <alignment horizontal="center" vertical="center" wrapText="1"/>
    </xf>
    <xf numFmtId="0" fontId="4" fillId="0" borderId="7" xfId="0" applyFont="1" applyBorder="1" applyAlignment="1">
      <alignment horizontal="center" vertical="center" wrapText="1"/>
    </xf>
    <xf numFmtId="0" fontId="0" fillId="0" borderId="36" xfId="0" applyFill="1" applyBorder="1" applyAlignment="1">
      <alignment horizontal="center" vertical="center" wrapText="1"/>
    </xf>
    <xf numFmtId="0" fontId="0" fillId="0" borderId="7" xfId="0" applyFill="1" applyBorder="1" applyAlignment="1">
      <alignment horizontal="center" vertical="center" wrapText="1"/>
    </xf>
    <xf numFmtId="9" fontId="0" fillId="0" borderId="7" xfId="3" applyFont="1" applyFill="1" applyBorder="1" applyAlignment="1">
      <alignment horizontal="center" vertical="center" wrapText="1"/>
    </xf>
    <xf numFmtId="0" fontId="0" fillId="7" borderId="7" xfId="0" applyFill="1" applyBorder="1" applyAlignment="1">
      <alignment horizontal="center" vertical="center"/>
    </xf>
    <xf numFmtId="9" fontId="0" fillId="7" borderId="7" xfId="0" applyNumberFormat="1" applyFill="1" applyBorder="1" applyAlignment="1">
      <alignment vertical="center"/>
    </xf>
    <xf numFmtId="0" fontId="10" fillId="5" borderId="0" xfId="49" applyFont="1" applyFill="1" applyBorder="1"/>
    <xf numFmtId="0" fontId="4" fillId="4" borderId="17" xfId="0" applyFont="1" applyFill="1" applyBorder="1" applyAlignment="1">
      <alignment horizontal="center"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4" xfId="5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9"/>
  <sheetViews>
    <sheetView zoomScale="85" zoomScaleNormal="85" topLeftCell="A4" workbookViewId="0">
      <selection activeCell="M25" sqref="M25:M29"/>
    </sheetView>
  </sheetViews>
  <sheetFormatPr defaultColWidth="9" defaultRowHeight="16.8"/>
  <cols>
    <col min="1" max="1" width="8.66071428571429" style="73"/>
    <col min="2" max="3" width="27.6607142857143" customWidth="1"/>
    <col min="4" max="4" width="17" customWidth="1"/>
    <col min="5" max="5" width="15.2232142857143" customWidth="1"/>
    <col min="10" max="10" width="11.1071428571429" customWidth="1"/>
    <col min="11" max="11" width="14" customWidth="1"/>
    <col min="14" max="14" width="15.4375" customWidth="1"/>
    <col min="19" max="19" width="11.4375" customWidth="1"/>
  </cols>
  <sheetData>
    <row r="1" ht="37.2" customHeight="1" spans="1:20">
      <c r="A1" s="74" t="s">
        <v>0</v>
      </c>
      <c r="B1" s="75"/>
      <c r="C1" s="75"/>
    </row>
    <row r="2" ht="13.95" customHeight="1" spans="1:20">
      <c r="A2" s="23" t="s">
        <v>1</v>
      </c>
      <c r="B2" s="24" t="s">
        <v>2</v>
      </c>
      <c r="C2" s="24" t="s">
        <v>3</v>
      </c>
      <c r="D2" s="76" t="s">
        <v>4</v>
      </c>
      <c r="E2" s="77"/>
      <c r="F2" s="77"/>
      <c r="G2" s="77"/>
      <c r="H2" s="77"/>
      <c r="I2" s="77"/>
      <c r="J2" s="77"/>
      <c r="K2" s="77"/>
      <c r="L2" s="77"/>
      <c r="M2" s="77"/>
      <c r="N2" s="78"/>
      <c r="O2" s="76" t="s">
        <v>5</v>
      </c>
      <c r="P2" s="78"/>
      <c r="Q2" s="79"/>
      <c r="R2" s="80"/>
      <c r="S2" s="80"/>
      <c r="T2" s="81"/>
    </row>
    <row r="3" ht="51" spans="1:20">
      <c r="A3" s="25"/>
      <c r="B3" s="82"/>
      <c r="C3" s="82"/>
      <c r="D3" s="55" t="s">
        <v>6</v>
      </c>
      <c r="E3" s="55" t="s">
        <v>7</v>
      </c>
      <c r="F3" s="55" t="s">
        <v>8</v>
      </c>
      <c r="G3" s="55" t="s">
        <v>9</v>
      </c>
      <c r="H3" s="55" t="s">
        <v>10</v>
      </c>
      <c r="I3" s="55" t="s">
        <v>11</v>
      </c>
      <c r="J3" s="55" t="s">
        <v>12</v>
      </c>
      <c r="K3" s="55" t="s">
        <v>13</v>
      </c>
      <c r="L3" s="83" t="s">
        <v>14</v>
      </c>
      <c r="M3" s="84" t="s">
        <v>15</v>
      </c>
      <c r="N3" s="85" t="s">
        <v>16</v>
      </c>
      <c r="O3" s="86" t="s">
        <v>17</v>
      </c>
      <c r="P3" s="87"/>
    </row>
    <row r="4" spans="1:20">
      <c r="A4" s="27" t="s">
        <v>18</v>
      </c>
      <c r="B4" s="28"/>
      <c r="C4" s="88"/>
    </row>
    <row r="5" ht="17" spans="1:20">
      <c r="A5" s="29" t="s">
        <v>19</v>
      </c>
      <c r="B5" s="89" t="s">
        <v>20</v>
      </c>
      <c r="C5" s="90"/>
    </row>
    <row r="6" spans="1:20">
      <c r="A6" s="91">
        <v>1</v>
      </c>
      <c r="B6" s="92" t="s">
        <v>21</v>
      </c>
      <c r="C6" s="92"/>
    </row>
    <row r="7" ht="17" spans="1:20">
      <c r="A7" s="32">
        <v>1.1</v>
      </c>
      <c r="B7" s="93" t="s">
        <v>22</v>
      </c>
      <c r="C7" s="93">
        <f>SUM(E7:E11)</f>
        <v>28</v>
      </c>
      <c r="D7" s="85" t="s">
        <v>23</v>
      </c>
      <c r="E7" s="94">
        <f>INT((P7/K7/L7*176/'2-项目参数'!$E$14)/F7)</f>
        <v>8</v>
      </c>
      <c r="F7" s="85">
        <v>35</v>
      </c>
      <c r="G7" s="95">
        <f t="shared" ref="G7:G8" si="0">E7*F7</f>
        <v>280</v>
      </c>
      <c r="H7" s="85">
        <f>SUM(G7:G10)</f>
        <v>580</v>
      </c>
      <c r="I7" s="96">
        <f>H7</f>
        <v>580</v>
      </c>
      <c r="J7" s="97">
        <f>ROUND(I7*'2-项目参数'!E14/176,4)</f>
        <v>32.0568</v>
      </c>
      <c r="K7" s="98">
        <v>2.1015</v>
      </c>
      <c r="L7" s="99">
        <v>1</v>
      </c>
      <c r="M7" s="84">
        <f>J7*K7*L7</f>
        <v>67.3673652</v>
      </c>
      <c r="N7" s="100">
        <v>70</v>
      </c>
      <c r="O7" s="101">
        <v>0.5</v>
      </c>
      <c r="P7" s="102">
        <f>N7*O7</f>
        <v>35</v>
      </c>
    </row>
    <row r="8" ht="17" spans="1:20">
      <c r="A8" s="36"/>
      <c r="B8" s="103"/>
      <c r="C8" s="103"/>
      <c r="D8" s="85" t="s">
        <v>24</v>
      </c>
      <c r="E8" s="94">
        <f>INT((P8/K7/L7*176/'2-项目参数'!$E$14)/F8)</f>
        <v>20</v>
      </c>
      <c r="F8" s="85">
        <v>15</v>
      </c>
      <c r="G8" s="95">
        <f t="shared" si="0"/>
        <v>300</v>
      </c>
      <c r="H8" s="85"/>
      <c r="I8" s="104"/>
      <c r="J8" s="97"/>
      <c r="K8" s="98"/>
      <c r="L8" s="105"/>
      <c r="M8" s="84"/>
      <c r="N8" s="106"/>
      <c r="O8" s="107">
        <v>0.5</v>
      </c>
      <c r="P8" s="102">
        <f>N7*O8</f>
        <v>35</v>
      </c>
    </row>
    <row r="9" ht="17" spans="1:20">
      <c r="A9" s="36"/>
      <c r="B9" s="103"/>
      <c r="C9" s="103"/>
      <c r="D9" s="85" t="s">
        <v>25</v>
      </c>
      <c r="E9" s="94">
        <f>INT((P9/K7/L7*176/'2-项目参数'!$E$14)/F9)</f>
        <v>0</v>
      </c>
      <c r="F9" s="85">
        <v>4</v>
      </c>
      <c r="G9" s="95">
        <f t="shared" ref="G9:G13" si="1">E9*F9</f>
        <v>0</v>
      </c>
      <c r="H9" s="85"/>
      <c r="I9" s="104"/>
      <c r="J9" s="97"/>
      <c r="K9" s="98"/>
      <c r="L9" s="105"/>
      <c r="M9" s="84"/>
      <c r="N9" s="106"/>
      <c r="O9" s="107">
        <v>0</v>
      </c>
      <c r="P9" s="102">
        <f>N7*O9</f>
        <v>0</v>
      </c>
    </row>
    <row r="10" ht="17" spans="1:20">
      <c r="A10" s="36"/>
      <c r="B10" s="103"/>
      <c r="C10" s="103"/>
      <c r="D10" s="85" t="s">
        <v>26</v>
      </c>
      <c r="E10" s="94">
        <f>INT((P10/K7/L7*176/'2-项目参数'!$E$14)/F10)</f>
        <v>0</v>
      </c>
      <c r="F10" s="85">
        <v>5</v>
      </c>
      <c r="G10" s="95">
        <f t="shared" si="1"/>
        <v>0</v>
      </c>
      <c r="H10" s="85"/>
      <c r="I10" s="104"/>
      <c r="J10" s="97"/>
      <c r="K10" s="98"/>
      <c r="L10" s="105"/>
      <c r="M10" s="84"/>
      <c r="N10" s="106"/>
      <c r="O10" s="107">
        <v>0</v>
      </c>
      <c r="P10" s="102">
        <f>N7*O10</f>
        <v>0</v>
      </c>
    </row>
    <row r="11" ht="17" spans="1:20">
      <c r="A11" s="108"/>
      <c r="B11" s="109"/>
      <c r="C11" s="109"/>
      <c r="D11" s="110" t="s">
        <v>27</v>
      </c>
      <c r="E11" s="94">
        <f>INT((P11/K7/L7*176/'2-项目参数'!$E$14)/F11)</f>
        <v>0</v>
      </c>
      <c r="F11" s="85">
        <v>4</v>
      </c>
      <c r="G11" s="95">
        <f t="shared" si="1"/>
        <v>0</v>
      </c>
      <c r="H11" s="85"/>
      <c r="I11" s="111"/>
      <c r="J11" s="97"/>
      <c r="K11" s="98"/>
      <c r="L11" s="112"/>
      <c r="M11" s="84"/>
      <c r="N11" s="113"/>
      <c r="O11" s="114">
        <v>0</v>
      </c>
      <c r="P11" s="102">
        <f>N7*O11</f>
        <v>0</v>
      </c>
    </row>
    <row r="12" ht="13.8" customHeight="1" spans="1:20">
      <c r="A12" s="32">
        <v>1.2</v>
      </c>
      <c r="B12" s="93" t="s">
        <v>28</v>
      </c>
      <c r="C12" s="93">
        <f>SUM(E12:E16)</f>
        <v>1</v>
      </c>
      <c r="D12" s="85" t="s">
        <v>23</v>
      </c>
      <c r="E12" s="94">
        <f>INT((P12/K12/L12*176/'2-项目参数'!$E$14)/F12)</f>
        <v>0</v>
      </c>
      <c r="F12" s="85">
        <v>35</v>
      </c>
      <c r="G12" s="95">
        <f t="shared" si="1"/>
        <v>0</v>
      </c>
      <c r="H12" s="85">
        <f>SUM(G12:G15)</f>
        <v>15</v>
      </c>
      <c r="I12" s="96">
        <f>H12</f>
        <v>15</v>
      </c>
      <c r="J12" s="97">
        <f>ROUND(I12*'2-项目参数'!$E$14/176,4)</f>
        <v>0.8291</v>
      </c>
      <c r="K12" s="98">
        <v>2.1015</v>
      </c>
      <c r="L12" s="99">
        <v>1</v>
      </c>
      <c r="M12" s="84">
        <f>J12*K12*L12</f>
        <v>1.74235365</v>
      </c>
      <c r="N12" s="100">
        <v>5</v>
      </c>
      <c r="O12" s="101">
        <v>0.5</v>
      </c>
      <c r="P12" s="102">
        <f>N12*O12</f>
        <v>2.5</v>
      </c>
    </row>
    <row r="13" ht="13.8" customHeight="1" spans="1:20">
      <c r="A13" s="36"/>
      <c r="B13" s="103"/>
      <c r="C13" s="103"/>
      <c r="D13" s="85" t="s">
        <v>24</v>
      </c>
      <c r="E13" s="94">
        <f>INT((P13/K12/L12*176/'2-项目参数'!$E$14)/F13)</f>
        <v>1</v>
      </c>
      <c r="F13" s="85">
        <v>15</v>
      </c>
      <c r="G13" s="95">
        <f t="shared" si="1"/>
        <v>15</v>
      </c>
      <c r="H13" s="85"/>
      <c r="I13" s="104"/>
      <c r="J13" s="97"/>
      <c r="K13" s="98"/>
      <c r="L13" s="105"/>
      <c r="M13" s="84"/>
      <c r="N13" s="106"/>
      <c r="O13" s="107">
        <v>0.5</v>
      </c>
      <c r="P13" s="102">
        <f>N12*O13</f>
        <v>2.5</v>
      </c>
    </row>
    <row r="14" ht="13.8" customHeight="1" spans="1:20">
      <c r="A14" s="36"/>
      <c r="B14" s="103"/>
      <c r="C14" s="103"/>
      <c r="D14" s="85" t="s">
        <v>25</v>
      </c>
      <c r="E14" s="94">
        <f>INT((P14/K12/L12*176/'2-项目参数'!$E$14)/F14)</f>
        <v>0</v>
      </c>
      <c r="F14" s="85">
        <v>4</v>
      </c>
      <c r="G14" s="95">
        <f t="shared" ref="G14:G16" si="2">E14*F14</f>
        <v>0</v>
      </c>
      <c r="H14" s="85"/>
      <c r="I14" s="104"/>
      <c r="J14" s="97"/>
      <c r="K14" s="98"/>
      <c r="L14" s="105"/>
      <c r="M14" s="84"/>
      <c r="N14" s="106"/>
      <c r="O14" s="107">
        <v>0</v>
      </c>
      <c r="P14" s="102">
        <f>N12*O14</f>
        <v>0</v>
      </c>
    </row>
    <row r="15" ht="13.8" customHeight="1" spans="1:20">
      <c r="A15" s="36"/>
      <c r="B15" s="103"/>
      <c r="C15" s="103"/>
      <c r="D15" s="85" t="s">
        <v>26</v>
      </c>
      <c r="E15" s="94">
        <f>INT((P15/K12/L12*176/'2-项目参数'!$E$14)/F15)</f>
        <v>0</v>
      </c>
      <c r="F15" s="85">
        <v>5</v>
      </c>
      <c r="G15" s="95">
        <f t="shared" si="2"/>
        <v>0</v>
      </c>
      <c r="H15" s="85"/>
      <c r="I15" s="104"/>
      <c r="J15" s="97"/>
      <c r="K15" s="98"/>
      <c r="L15" s="105"/>
      <c r="M15" s="84"/>
      <c r="N15" s="106"/>
      <c r="O15" s="107">
        <v>0</v>
      </c>
      <c r="P15" s="102">
        <f>N12*O15</f>
        <v>0</v>
      </c>
    </row>
    <row r="16" ht="13.8" customHeight="1" spans="1:20">
      <c r="A16" s="108"/>
      <c r="B16" s="109"/>
      <c r="C16" s="109"/>
      <c r="D16" s="110" t="s">
        <v>27</v>
      </c>
      <c r="E16" s="94">
        <f>INT((P16/K12/L12*176/'2-项目参数'!$E$14)/F16)</f>
        <v>0</v>
      </c>
      <c r="F16" s="85">
        <v>4</v>
      </c>
      <c r="G16" s="95">
        <f t="shared" si="2"/>
        <v>0</v>
      </c>
      <c r="H16" s="85"/>
      <c r="I16" s="111"/>
      <c r="J16" s="97"/>
      <c r="K16" s="98"/>
      <c r="L16" s="112"/>
      <c r="M16" s="84"/>
      <c r="N16" s="113"/>
      <c r="O16" s="114">
        <v>0</v>
      </c>
      <c r="P16" s="102">
        <f>N12*O16</f>
        <v>0</v>
      </c>
    </row>
    <row r="17" spans="1:16">
      <c r="A17" s="91">
        <v>2</v>
      </c>
      <c r="B17" s="92" t="s">
        <v>29</v>
      </c>
      <c r="C17" s="115"/>
      <c r="P17" s="102"/>
    </row>
    <row r="18" ht="13.8" customHeight="1" spans="1:16">
      <c r="A18" s="32">
        <v>2.1</v>
      </c>
      <c r="B18" s="93" t="s">
        <v>30</v>
      </c>
      <c r="C18" s="93">
        <f>SUM(E18:E22)</f>
        <v>20</v>
      </c>
      <c r="D18" s="85" t="s">
        <v>23</v>
      </c>
      <c r="E18" s="94">
        <f>INT((P18/K18/L18*176/'2-项目参数'!$E$14)/F18)</f>
        <v>6</v>
      </c>
      <c r="F18" s="85">
        <v>35</v>
      </c>
      <c r="G18" s="95">
        <f t="shared" ref="G18:G19" si="3">E18*F18</f>
        <v>210</v>
      </c>
      <c r="H18" s="85">
        <f>SUM(G18:G21)</f>
        <v>420</v>
      </c>
      <c r="I18" s="96">
        <f>H18</f>
        <v>420</v>
      </c>
      <c r="J18" s="97">
        <f>ROUND(I18*'2-项目参数'!$E$14/176,4)</f>
        <v>23.2135</v>
      </c>
      <c r="K18" s="98">
        <v>2.1015</v>
      </c>
      <c r="L18" s="99">
        <v>1</v>
      </c>
      <c r="M18" s="84">
        <f>J18*K18*L18</f>
        <v>48.78317025</v>
      </c>
      <c r="N18" s="100">
        <v>50</v>
      </c>
      <c r="O18" s="101">
        <v>0.5</v>
      </c>
      <c r="P18" s="102">
        <f>N18*O18</f>
        <v>25</v>
      </c>
    </row>
    <row r="19" ht="13.8" customHeight="1" spans="1:16">
      <c r="A19" s="36"/>
      <c r="B19" s="103"/>
      <c r="C19" s="103"/>
      <c r="D19" s="85" t="s">
        <v>24</v>
      </c>
      <c r="E19" s="94">
        <f>INT((P19/K18/L18*176/'2-项目参数'!$E$14)/F19)</f>
        <v>14</v>
      </c>
      <c r="F19" s="85">
        <v>15</v>
      </c>
      <c r="G19" s="95">
        <f t="shared" si="3"/>
        <v>210</v>
      </c>
      <c r="H19" s="85"/>
      <c r="I19" s="104"/>
      <c r="J19" s="97"/>
      <c r="K19" s="98"/>
      <c r="L19" s="105"/>
      <c r="M19" s="84"/>
      <c r="N19" s="106"/>
      <c r="O19" s="107">
        <v>0.5</v>
      </c>
      <c r="P19" s="102">
        <f>N18*O19</f>
        <v>25</v>
      </c>
    </row>
    <row r="20" ht="13.8" customHeight="1" spans="1:16">
      <c r="A20" s="36"/>
      <c r="B20" s="103"/>
      <c r="C20" s="103"/>
      <c r="D20" s="85" t="s">
        <v>25</v>
      </c>
      <c r="E20" s="94">
        <f>INT((P20/K18/L18*176/'2-项目参数'!$E$14)/F20)</f>
        <v>0</v>
      </c>
      <c r="F20" s="85">
        <v>4</v>
      </c>
      <c r="G20" s="95">
        <f t="shared" ref="G20:G22" si="4">E20*F20</f>
        <v>0</v>
      </c>
      <c r="H20" s="85"/>
      <c r="I20" s="104"/>
      <c r="J20" s="97"/>
      <c r="K20" s="98"/>
      <c r="L20" s="105"/>
      <c r="M20" s="84"/>
      <c r="N20" s="106"/>
      <c r="O20" s="107">
        <v>0</v>
      </c>
      <c r="P20" s="102">
        <f>N18*O20</f>
        <v>0</v>
      </c>
    </row>
    <row r="21" ht="13.8" customHeight="1" spans="1:16">
      <c r="A21" s="36"/>
      <c r="B21" s="103"/>
      <c r="C21" s="103"/>
      <c r="D21" s="85" t="s">
        <v>26</v>
      </c>
      <c r="E21" s="94">
        <f>INT((P21/K18/L18*176/'2-项目参数'!$E$14)/F21)</f>
        <v>0</v>
      </c>
      <c r="F21" s="85">
        <v>5</v>
      </c>
      <c r="G21" s="95">
        <f t="shared" si="4"/>
        <v>0</v>
      </c>
      <c r="H21" s="85"/>
      <c r="I21" s="104"/>
      <c r="J21" s="97"/>
      <c r="K21" s="98"/>
      <c r="L21" s="105"/>
      <c r="M21" s="84"/>
      <c r="N21" s="106"/>
      <c r="O21" s="107">
        <v>0</v>
      </c>
      <c r="P21" s="102">
        <f>N18*O21</f>
        <v>0</v>
      </c>
    </row>
    <row r="22" ht="13.8" customHeight="1" spans="1:16">
      <c r="A22" s="108"/>
      <c r="B22" s="109"/>
      <c r="C22" s="109"/>
      <c r="D22" s="110" t="s">
        <v>27</v>
      </c>
      <c r="E22" s="94">
        <f>INT((P22/K18/L18*176/'2-项目参数'!$E$14)/F22)</f>
        <v>0</v>
      </c>
      <c r="F22" s="85">
        <v>4</v>
      </c>
      <c r="G22" s="95">
        <f t="shared" si="4"/>
        <v>0</v>
      </c>
      <c r="H22" s="85"/>
      <c r="I22" s="111"/>
      <c r="J22" s="97"/>
      <c r="K22" s="98"/>
      <c r="L22" s="112"/>
      <c r="M22" s="84"/>
      <c r="N22" s="113"/>
      <c r="O22" s="114">
        <v>0</v>
      </c>
      <c r="P22" s="102">
        <f>N18*O22</f>
        <v>0</v>
      </c>
    </row>
    <row r="23" ht="17" spans="1:16">
      <c r="A23" s="116" t="s">
        <v>31</v>
      </c>
      <c r="B23" s="89" t="s">
        <v>32</v>
      </c>
      <c r="C23" s="90"/>
      <c r="P23" s="102"/>
    </row>
    <row r="24" spans="1:16">
      <c r="A24" s="91">
        <v>1</v>
      </c>
      <c r="B24" s="92" t="s">
        <v>33</v>
      </c>
      <c r="C24" s="115"/>
      <c r="P24" s="102"/>
    </row>
    <row r="25" ht="13.8" customHeight="1" spans="1:16">
      <c r="A25" s="32">
        <v>1.1</v>
      </c>
      <c r="B25" s="93" t="s">
        <v>34</v>
      </c>
      <c r="C25" s="93">
        <f>SUM(E25:E29)</f>
        <v>0</v>
      </c>
      <c r="D25" s="85" t="s">
        <v>23</v>
      </c>
      <c r="E25" s="94">
        <f>INT((P25/K25/L25*176/'2-项目参数'!$E$14)/F25)</f>
        <v>0</v>
      </c>
      <c r="F25" s="85">
        <v>35</v>
      </c>
      <c r="G25" s="95">
        <f t="shared" ref="G25:G26" si="5">E25*F25</f>
        <v>0</v>
      </c>
      <c r="H25" s="85">
        <f>SUM(G25:G28)</f>
        <v>0</v>
      </c>
      <c r="I25" s="96">
        <f>H25</f>
        <v>0</v>
      </c>
      <c r="J25" s="97">
        <f>ROUND(I25*'2-项目参数'!$E$14/176,4)</f>
        <v>0</v>
      </c>
      <c r="K25" s="98">
        <v>2.1015</v>
      </c>
      <c r="L25" s="99">
        <v>1</v>
      </c>
      <c r="M25" s="84">
        <f>J25*K25*L25</f>
        <v>0</v>
      </c>
      <c r="N25" s="100">
        <v>3</v>
      </c>
      <c r="O25" s="101">
        <v>0.5</v>
      </c>
      <c r="P25" s="102">
        <f>N25*O25</f>
        <v>1.5</v>
      </c>
    </row>
    <row r="26" ht="13.8" customHeight="1" spans="1:16">
      <c r="A26" s="36"/>
      <c r="B26" s="103"/>
      <c r="C26" s="103"/>
      <c r="D26" s="85" t="s">
        <v>24</v>
      </c>
      <c r="E26" s="94">
        <f>INT((P26/K25/L25*176/'2-项目参数'!$E$14)/F26)</f>
        <v>0</v>
      </c>
      <c r="F26" s="85">
        <v>15</v>
      </c>
      <c r="G26" s="95">
        <f t="shared" si="5"/>
        <v>0</v>
      </c>
      <c r="H26" s="85"/>
      <c r="I26" s="104"/>
      <c r="J26" s="97"/>
      <c r="K26" s="98"/>
      <c r="L26" s="105"/>
      <c r="M26" s="84"/>
      <c r="N26" s="106"/>
      <c r="O26" s="107">
        <v>0.5</v>
      </c>
      <c r="P26" s="102">
        <f>N25*O26</f>
        <v>1.5</v>
      </c>
    </row>
    <row r="27" ht="13.8" customHeight="1" spans="1:16">
      <c r="A27" s="36"/>
      <c r="B27" s="103"/>
      <c r="C27" s="103"/>
      <c r="D27" s="85" t="s">
        <v>25</v>
      </c>
      <c r="E27" s="94">
        <f>INT((P27/K25/L25*176/'2-项目参数'!$E$14)/F27)</f>
        <v>0</v>
      </c>
      <c r="F27" s="85">
        <v>4</v>
      </c>
      <c r="G27" s="95">
        <f t="shared" ref="G27:G29" si="6">E27*F27</f>
        <v>0</v>
      </c>
      <c r="H27" s="85"/>
      <c r="I27" s="104"/>
      <c r="J27" s="97"/>
      <c r="K27" s="98"/>
      <c r="L27" s="105"/>
      <c r="M27" s="84"/>
      <c r="N27" s="106"/>
      <c r="O27" s="107">
        <v>0</v>
      </c>
      <c r="P27" s="102">
        <f>N25*O27</f>
        <v>0</v>
      </c>
    </row>
    <row r="28" ht="13.8" customHeight="1" spans="1:16">
      <c r="A28" s="36"/>
      <c r="B28" s="103"/>
      <c r="C28" s="103"/>
      <c r="D28" s="85" t="s">
        <v>26</v>
      </c>
      <c r="E28" s="94">
        <f>INT((P28/K25/L25*176/'2-项目参数'!$E$14)/F28)</f>
        <v>0</v>
      </c>
      <c r="F28" s="85">
        <v>5</v>
      </c>
      <c r="G28" s="95">
        <f t="shared" si="6"/>
        <v>0</v>
      </c>
      <c r="H28" s="85"/>
      <c r="I28" s="104"/>
      <c r="J28" s="97"/>
      <c r="K28" s="98"/>
      <c r="L28" s="105"/>
      <c r="M28" s="84"/>
      <c r="N28" s="106"/>
      <c r="O28" s="107">
        <v>0</v>
      </c>
      <c r="P28" s="102">
        <f>N25*O28</f>
        <v>0</v>
      </c>
    </row>
    <row r="29" ht="13.8" customHeight="1" spans="1:16">
      <c r="A29" s="108"/>
      <c r="B29" s="109"/>
      <c r="C29" s="109"/>
      <c r="D29" s="110" t="s">
        <v>27</v>
      </c>
      <c r="E29" s="94">
        <f>INT((P29/K25/L25*176/'2-项目参数'!$E$14)/F29)</f>
        <v>0</v>
      </c>
      <c r="F29" s="85">
        <v>4</v>
      </c>
      <c r="G29" s="95">
        <f t="shared" si="6"/>
        <v>0</v>
      </c>
      <c r="H29" s="85"/>
      <c r="I29" s="111"/>
      <c r="J29" s="97"/>
      <c r="K29" s="98"/>
      <c r="L29" s="112"/>
      <c r="M29" s="84"/>
      <c r="N29" s="113"/>
      <c r="O29" s="114">
        <v>0</v>
      </c>
      <c r="P29" s="102">
        <f>N25*O29</f>
        <v>0</v>
      </c>
    </row>
  </sheetData>
  <mergeCells count="47">
    <mergeCell ref="A1:C1"/>
    <mergeCell ref="D2:N2"/>
    <mergeCell ref="O2:P2"/>
    <mergeCell ref="A4:B4"/>
    <mergeCell ref="A2:A3"/>
    <mergeCell ref="A7:A11"/>
    <mergeCell ref="A12:A16"/>
    <mergeCell ref="A18:A22"/>
    <mergeCell ref="A25:A29"/>
    <mergeCell ref="B2:B3"/>
    <mergeCell ref="B7:B11"/>
    <mergeCell ref="B12:B16"/>
    <mergeCell ref="B18:B22"/>
    <mergeCell ref="B25:B29"/>
    <mergeCell ref="C2:C3"/>
    <mergeCell ref="C7:C11"/>
    <mergeCell ref="C12:C16"/>
    <mergeCell ref="C18:C22"/>
    <mergeCell ref="C25:C29"/>
    <mergeCell ref="H7:H11"/>
    <mergeCell ref="H12:H16"/>
    <mergeCell ref="H18:H22"/>
    <mergeCell ref="H25:H29"/>
    <mergeCell ref="I7:I11"/>
    <mergeCell ref="I12:I16"/>
    <mergeCell ref="I18:I22"/>
    <mergeCell ref="I25:I29"/>
    <mergeCell ref="J7:J11"/>
    <mergeCell ref="J12:J16"/>
    <mergeCell ref="J18:J22"/>
    <mergeCell ref="J25:J29"/>
    <mergeCell ref="K7:K11"/>
    <mergeCell ref="K12:K16"/>
    <mergeCell ref="K18:K22"/>
    <mergeCell ref="K25:K29"/>
    <mergeCell ref="L7:L11"/>
    <mergeCell ref="L12:L16"/>
    <mergeCell ref="L18:L22"/>
    <mergeCell ref="L25:L29"/>
    <mergeCell ref="M7:M11"/>
    <mergeCell ref="M12:M16"/>
    <mergeCell ref="M18:M22"/>
    <mergeCell ref="M25:M29"/>
    <mergeCell ref="N7:N11"/>
    <mergeCell ref="N12:N16"/>
    <mergeCell ref="N18:N22"/>
    <mergeCell ref="N25:N2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45"/>
  <sheetViews>
    <sheetView topLeftCell="B1" workbookViewId="0">
      <selection activeCell="F11" sqref="F11"/>
    </sheetView>
  </sheetViews>
  <sheetFormatPr defaultColWidth="9" defaultRowHeight="16.8"/>
  <cols>
    <col min="1" max="1" width="8.88392857142857" style="39"/>
    <col min="2" max="2" width="12.8839285714286" style="39" customWidth="1"/>
    <col min="3" max="3" width="11.8839285714286" style="39" customWidth="1"/>
    <col min="4" max="4" width="38.4375" style="39" customWidth="1"/>
    <col min="5" max="5" width="15.3303571428571" style="39" hidden="1" customWidth="1"/>
    <col min="6" max="6" width="9.10714285714286" style="39" customWidth="1"/>
    <col min="7" max="7" width="8.88392857142857" style="39"/>
    <col min="8" max="8" width="19.2232142857143" style="39" customWidth="1"/>
    <col min="9" max="9" width="58.4375" style="39" customWidth="1"/>
    <col min="10" max="16384" width="8.88392857142857" style="39"/>
  </cols>
  <sheetData>
    <row r="2" ht="19.95" spans="2:10">
      <c r="B2" s="50" t="s">
        <v>35</v>
      </c>
      <c r="C2" s="50"/>
      <c r="D2" s="50"/>
      <c r="E2" s="50"/>
      <c r="F2" s="50"/>
      <c r="H2" s="2" t="s">
        <v>36</v>
      </c>
      <c r="I2" s="2"/>
      <c r="J2" s="2"/>
    </row>
    <row r="3" ht="17.75" spans="2:10">
      <c r="B3" s="51" t="s">
        <v>37</v>
      </c>
      <c r="C3" s="52"/>
      <c r="D3" s="52" t="s">
        <v>38</v>
      </c>
      <c r="E3" s="52"/>
      <c r="F3" s="53">
        <f>AVERAGEIFS(J4:J11,H4:H11,D3)</f>
        <v>1</v>
      </c>
      <c r="H3" s="43" t="s">
        <v>39</v>
      </c>
      <c r="I3" s="44" t="s">
        <v>40</v>
      </c>
      <c r="J3" s="45" t="s">
        <v>41</v>
      </c>
    </row>
    <row r="4" ht="34" spans="2:10">
      <c r="B4" s="54" t="s">
        <v>42</v>
      </c>
      <c r="C4" s="55" t="s">
        <v>43</v>
      </c>
      <c r="D4" s="56" t="s">
        <v>44</v>
      </c>
      <c r="E4" s="55">
        <f>AVERAGEIFS(J27:J29,I27:I29,D4)</f>
        <v>1</v>
      </c>
      <c r="F4" s="57">
        <f>SUM(E4:E7)*0.025+1</f>
        <v>1.075</v>
      </c>
      <c r="H4" s="43" t="s">
        <v>38</v>
      </c>
      <c r="I4" s="44" t="s">
        <v>45</v>
      </c>
      <c r="J4" s="45">
        <v>1</v>
      </c>
    </row>
    <row r="5" ht="51" spans="2:10">
      <c r="B5" s="54"/>
      <c r="C5" s="55" t="s">
        <v>46</v>
      </c>
      <c r="D5" s="56" t="s">
        <v>47</v>
      </c>
      <c r="E5" s="55">
        <f>AVERAGEIFS(J30:J32,I30:I32,D5)</f>
        <v>1</v>
      </c>
      <c r="F5" s="57"/>
      <c r="H5" s="43" t="s">
        <v>48</v>
      </c>
      <c r="I5" s="44" t="s">
        <v>49</v>
      </c>
      <c r="J5" s="45">
        <v>1.2</v>
      </c>
    </row>
    <row r="6" ht="34" spans="2:10">
      <c r="B6" s="54"/>
      <c r="C6" s="55" t="s">
        <v>50</v>
      </c>
      <c r="D6" s="56" t="s">
        <v>51</v>
      </c>
      <c r="E6" s="55">
        <f>AVERAGEIFS(J33:J35,I33:I35,D6)</f>
        <v>0</v>
      </c>
      <c r="F6" s="57"/>
      <c r="H6" s="43" t="s">
        <v>52</v>
      </c>
      <c r="I6" s="44" t="s">
        <v>53</v>
      </c>
      <c r="J6" s="45">
        <v>1.2</v>
      </c>
    </row>
    <row r="7" ht="34" spans="2:10">
      <c r="B7" s="54"/>
      <c r="C7" s="55" t="s">
        <v>54</v>
      </c>
      <c r="D7" s="56" t="s">
        <v>55</v>
      </c>
      <c r="E7" s="55">
        <f>AVERAGEIFS(J36:J38,I36:I38,D7)</f>
        <v>1</v>
      </c>
      <c r="F7" s="57"/>
      <c r="H7" s="43" t="s">
        <v>56</v>
      </c>
      <c r="I7" s="44" t="s">
        <v>57</v>
      </c>
      <c r="J7" s="45">
        <v>1.3</v>
      </c>
    </row>
    <row r="8" ht="17" spans="2:10">
      <c r="B8" s="54" t="s">
        <v>58</v>
      </c>
      <c r="C8" s="55"/>
      <c r="D8" s="56" t="s">
        <v>59</v>
      </c>
      <c r="E8" s="55"/>
      <c r="F8" s="57">
        <f>AVERAGEIFS(J15:J17,H15:H17,D8)</f>
        <v>1</v>
      </c>
      <c r="H8" s="43" t="s">
        <v>60</v>
      </c>
      <c r="I8" s="44" t="s">
        <v>61</v>
      </c>
      <c r="J8" s="45">
        <v>1.7</v>
      </c>
    </row>
    <row r="9" ht="17" spans="2:10">
      <c r="B9" s="58" t="s">
        <v>62</v>
      </c>
      <c r="C9" s="3"/>
      <c r="D9" s="56"/>
      <c r="E9" s="55"/>
      <c r="F9" s="59">
        <v>1</v>
      </c>
      <c r="H9" s="43" t="s">
        <v>63</v>
      </c>
      <c r="I9" s="44" t="s">
        <v>64</v>
      </c>
      <c r="J9" s="45">
        <v>1.7</v>
      </c>
    </row>
    <row r="10" ht="17" spans="2:10">
      <c r="B10" s="58" t="s">
        <v>65</v>
      </c>
      <c r="C10" s="3"/>
      <c r="D10" s="56" t="s">
        <v>66</v>
      </c>
      <c r="E10" s="55"/>
      <c r="F10" s="59">
        <f>AVERAGEIFS(J43:J44,H43:H44,D10)</f>
        <v>1.39</v>
      </c>
      <c r="H10" s="43" t="s">
        <v>67</v>
      </c>
      <c r="I10" s="44" t="s">
        <v>68</v>
      </c>
      <c r="J10" s="45">
        <v>1.9</v>
      </c>
    </row>
    <row r="11" ht="34.75" spans="2:10">
      <c r="B11" s="54" t="s">
        <v>69</v>
      </c>
      <c r="C11" s="55"/>
      <c r="D11" s="56" t="s">
        <v>70</v>
      </c>
      <c r="E11" s="55"/>
      <c r="F11" s="57">
        <f>AVERAGEIFS(J20:J22,H20:H22,D11)</f>
        <v>1</v>
      </c>
      <c r="H11" s="60" t="s">
        <v>71</v>
      </c>
      <c r="I11" s="61" t="s">
        <v>72</v>
      </c>
      <c r="J11" s="62">
        <v>2</v>
      </c>
    </row>
    <row r="12" spans="2:10">
      <c r="B12" s="54" t="s">
        <v>73</v>
      </c>
      <c r="C12" s="55"/>
      <c r="D12" s="55">
        <f>F12</f>
        <v>6.51</v>
      </c>
      <c r="E12" s="55"/>
      <c r="F12" s="63">
        <v>6.51</v>
      </c>
    </row>
    <row r="13" ht="25.8" customHeight="1" spans="2:10">
      <c r="B13" s="64" t="s">
        <v>74</v>
      </c>
      <c r="C13" s="65"/>
      <c r="D13" s="66">
        <v>21015</v>
      </c>
      <c r="E13" s="66"/>
      <c r="F13" s="67">
        <f>D13</f>
        <v>21015</v>
      </c>
      <c r="H13" s="2" t="s">
        <v>75</v>
      </c>
      <c r="I13" s="2"/>
      <c r="J13" s="2"/>
    </row>
    <row r="14" ht="45.6" customHeight="1" spans="2:10">
      <c r="B14" s="68" t="s">
        <v>76</v>
      </c>
      <c r="C14" s="69"/>
      <c r="D14" s="69"/>
      <c r="E14" s="70">
        <f>PRODUCT(F3:F12)</f>
        <v>9.7275675</v>
      </c>
      <c r="F14" s="71"/>
      <c r="H14" s="43" t="s">
        <v>77</v>
      </c>
      <c r="I14" s="44"/>
      <c r="J14" s="45" t="s">
        <v>41</v>
      </c>
    </row>
    <row r="15" spans="2:10">
      <c r="H15" s="4" t="s">
        <v>78</v>
      </c>
      <c r="I15" s="5"/>
      <c r="J15" s="45">
        <v>1.5</v>
      </c>
    </row>
    <row r="16" ht="27.6" customHeight="1" spans="2:10">
      <c r="H16" s="4" t="s">
        <v>59</v>
      </c>
      <c r="I16" s="5"/>
      <c r="J16" s="45">
        <v>1</v>
      </c>
    </row>
    <row r="17" ht="41.4" customHeight="1" spans="8:10">
      <c r="H17" s="12" t="s">
        <v>79</v>
      </c>
      <c r="I17" s="13"/>
      <c r="J17" s="62">
        <v>0.6</v>
      </c>
    </row>
    <row r="18" ht="42" customHeight="1"/>
    <row r="19" ht="19.95" spans="8:10">
      <c r="H19" s="2" t="s">
        <v>80</v>
      </c>
      <c r="I19" s="2"/>
      <c r="J19" s="2"/>
    </row>
    <row r="20" ht="17.75" spans="8:10">
      <c r="H20" s="43" t="s">
        <v>81</v>
      </c>
      <c r="I20" s="44"/>
      <c r="J20" s="45" t="s">
        <v>82</v>
      </c>
    </row>
    <row r="21" spans="8:10">
      <c r="H21" s="4" t="s">
        <v>83</v>
      </c>
      <c r="I21" s="5"/>
      <c r="J21" s="45">
        <v>0.8</v>
      </c>
    </row>
    <row r="22" ht="27.6" customHeight="1" spans="8:10">
      <c r="H22" s="4" t="s">
        <v>70</v>
      </c>
      <c r="I22" s="5"/>
      <c r="J22" s="45">
        <v>1</v>
      </c>
    </row>
    <row r="23" ht="55.2" customHeight="1" spans="8:10">
      <c r="H23" s="12" t="s">
        <v>84</v>
      </c>
      <c r="I23" s="13"/>
      <c r="J23" s="62">
        <v>1.2</v>
      </c>
    </row>
    <row r="26" ht="19.95" spans="8:10">
      <c r="H26" s="2" t="s">
        <v>85</v>
      </c>
      <c r="I26" s="2"/>
      <c r="J26" s="2"/>
    </row>
    <row r="27" ht="17.75" spans="8:10">
      <c r="H27" s="4" t="s">
        <v>43</v>
      </c>
      <c r="I27" s="44" t="s">
        <v>86</v>
      </c>
      <c r="J27" s="45">
        <v>-1</v>
      </c>
    </row>
    <row r="28" ht="17" spans="8:10">
      <c r="H28" s="4"/>
      <c r="I28" s="44" t="s">
        <v>87</v>
      </c>
      <c r="J28" s="45">
        <v>0</v>
      </c>
    </row>
    <row r="29" ht="17" spans="8:10">
      <c r="H29" s="4"/>
      <c r="I29" s="44" t="s">
        <v>44</v>
      </c>
      <c r="J29" s="45">
        <v>1</v>
      </c>
    </row>
    <row r="30" ht="17" spans="8:10">
      <c r="H30" s="4" t="s">
        <v>46</v>
      </c>
      <c r="I30" s="44" t="s">
        <v>88</v>
      </c>
      <c r="J30" s="45">
        <v>-1</v>
      </c>
    </row>
    <row r="31" ht="34" spans="8:10">
      <c r="H31" s="4"/>
      <c r="I31" s="44" t="s">
        <v>89</v>
      </c>
      <c r="J31" s="45">
        <v>0</v>
      </c>
    </row>
    <row r="32" ht="34" spans="8:10">
      <c r="H32" s="4"/>
      <c r="I32" s="44" t="s">
        <v>47</v>
      </c>
      <c r="J32" s="45">
        <v>1</v>
      </c>
    </row>
    <row r="33" ht="34" spans="8:10">
      <c r="H33" s="4" t="s">
        <v>50</v>
      </c>
      <c r="I33" s="44" t="s">
        <v>90</v>
      </c>
      <c r="J33" s="45">
        <v>-1</v>
      </c>
    </row>
    <row r="34" ht="17" spans="8:10">
      <c r="H34" s="4"/>
      <c r="I34" s="44" t="s">
        <v>51</v>
      </c>
      <c r="J34" s="45">
        <v>0</v>
      </c>
    </row>
    <row r="35" ht="17" spans="8:10">
      <c r="H35" s="4"/>
      <c r="I35" s="44" t="s">
        <v>91</v>
      </c>
      <c r="J35" s="45">
        <v>1</v>
      </c>
    </row>
    <row r="36" ht="17" spans="8:10">
      <c r="H36" s="4" t="s">
        <v>54</v>
      </c>
      <c r="I36" s="44" t="s">
        <v>92</v>
      </c>
      <c r="J36" s="45">
        <v>-1</v>
      </c>
    </row>
    <row r="37" ht="17" spans="8:10">
      <c r="H37" s="4"/>
      <c r="I37" s="44" t="s">
        <v>93</v>
      </c>
      <c r="J37" s="45">
        <v>0</v>
      </c>
    </row>
    <row r="38" ht="17.75" spans="8:10">
      <c r="H38" s="12"/>
      <c r="I38" s="61" t="s">
        <v>55</v>
      </c>
      <c r="J38" s="62">
        <v>1</v>
      </c>
    </row>
    <row r="39" spans="8:10">
      <c r="H39" s="72" t="s">
        <v>94</v>
      </c>
      <c r="I39" s="72"/>
      <c r="J39" s="72"/>
    </row>
    <row r="42" ht="19.95" spans="8:10">
      <c r="H42" s="2" t="s">
        <v>95</v>
      </c>
      <c r="I42" s="2"/>
      <c r="J42" s="2"/>
    </row>
    <row r="43" ht="17.55" spans="8:10">
      <c r="H43" s="4" t="s">
        <v>66</v>
      </c>
      <c r="I43" s="5"/>
      <c r="J43" s="45">
        <v>1.39</v>
      </c>
    </row>
    <row r="44" spans="8:10">
      <c r="H44" s="4" t="s">
        <v>96</v>
      </c>
      <c r="I44" s="5"/>
      <c r="J44" s="45">
        <v>1.22</v>
      </c>
    </row>
    <row r="45" ht="17.55" spans="8:10">
      <c r="H45" s="12"/>
      <c r="I45" s="13"/>
      <c r="J45" s="62"/>
    </row>
  </sheetData>
  <mergeCells count="30">
    <mergeCell ref="B2:F2"/>
    <mergeCell ref="H2:J2"/>
    <mergeCell ref="B3:C3"/>
    <mergeCell ref="B8:C8"/>
    <mergeCell ref="B9:C9"/>
    <mergeCell ref="B10:C10"/>
    <mergeCell ref="B11:C11"/>
    <mergeCell ref="B12:C12"/>
    <mergeCell ref="B13:C13"/>
    <mergeCell ref="H13:J13"/>
    <mergeCell ref="B14:D14"/>
    <mergeCell ref="H15:I15"/>
    <mergeCell ref="H16:I16"/>
    <mergeCell ref="H17:I17"/>
    <mergeCell ref="H19:J19"/>
    <mergeCell ref="H21:I21"/>
    <mergeCell ref="H22:I22"/>
    <mergeCell ref="H23:I23"/>
    <mergeCell ref="H26:J26"/>
    <mergeCell ref="H39:J39"/>
    <mergeCell ref="H42:J42"/>
    <mergeCell ref="H43:I43"/>
    <mergeCell ref="H44:I44"/>
    <mergeCell ref="H45:I45"/>
    <mergeCell ref="B4:B7"/>
    <mergeCell ref="F4:F7"/>
    <mergeCell ref="H27:H29"/>
    <mergeCell ref="H30:H32"/>
    <mergeCell ref="H33:H35"/>
    <mergeCell ref="H36:H38"/>
  </mergeCells>
  <dataValidations count="8">
    <dataValidation type="list" allowBlank="1" showInputMessage="1" showErrorMessage="1" sqref="D3:E3">
      <formula1>$H$4:$H$11</formula1>
    </dataValidation>
    <dataValidation type="list" allowBlank="1" showInputMessage="1" showErrorMessage="1" sqref="D4">
      <formula1>$I$27:$I$29</formula1>
    </dataValidation>
    <dataValidation type="list" allowBlank="1" showInputMessage="1" showErrorMessage="1" sqref="D5">
      <formula1>$I$30:$I$32</formula1>
    </dataValidation>
    <dataValidation type="list" allowBlank="1" showInputMessage="1" showErrorMessage="1" sqref="D6">
      <formula1>$I$33:$I$35</formula1>
    </dataValidation>
    <dataValidation type="list" allowBlank="1" showInputMessage="1" showErrorMessage="1" sqref="D7">
      <formula1>$I$36:$I$38</formula1>
    </dataValidation>
    <dataValidation type="list" allowBlank="1" showInputMessage="1" showErrorMessage="1" sqref="D8:E8 E9:E10">
      <formula1>$H$15:$H$17</formula1>
    </dataValidation>
    <dataValidation type="list" allowBlank="1" showInputMessage="1" showErrorMessage="1" sqref="D10">
      <formula1>$H$43:$H$44</formula1>
    </dataValidation>
    <dataValidation type="list" allowBlank="1" showInputMessage="1" showErrorMessage="1" sqref="D11:E11 E12:E13">
      <formula1>$H$21:$H$23</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D6" sqref="D6"/>
    </sheetView>
  </sheetViews>
  <sheetFormatPr defaultColWidth="9" defaultRowHeight="16.8" outlineLevelCol="4"/>
  <cols>
    <col min="1" max="1" width="8.88392857142857" style="39"/>
    <col min="2" max="2" width="12" style="39" customWidth="1"/>
    <col min="3" max="3" width="11.6607142857143" style="39" customWidth="1"/>
    <col min="4" max="4" width="12.7767857142857" style="39" customWidth="1"/>
    <col min="5" max="5" width="35.7767857142857" style="39" customWidth="1"/>
    <col min="6" max="16384" width="8.88392857142857" style="39"/>
  </cols>
  <sheetData>
    <row r="1" ht="41.4" customHeight="1" spans="1:5">
      <c r="A1" s="40" t="s">
        <v>97</v>
      </c>
      <c r="B1" s="41"/>
      <c r="C1" s="41"/>
      <c r="D1" s="41"/>
      <c r="E1" s="42"/>
    </row>
    <row r="2" ht="17" spans="1:5">
      <c r="A2" s="43" t="s">
        <v>1</v>
      </c>
      <c r="B2" s="44" t="s">
        <v>98</v>
      </c>
      <c r="C2" s="44" t="s">
        <v>99</v>
      </c>
      <c r="D2" s="44" t="s">
        <v>100</v>
      </c>
      <c r="E2" s="45" t="s">
        <v>101</v>
      </c>
    </row>
    <row r="3" ht="185" spans="1:5">
      <c r="A3" s="43">
        <v>1</v>
      </c>
      <c r="B3" s="44" t="s">
        <v>102</v>
      </c>
      <c r="C3" s="46">
        <v>3000</v>
      </c>
      <c r="D3" s="44"/>
      <c r="E3" s="45" t="s">
        <v>103</v>
      </c>
    </row>
    <row r="4" ht="34" spans="1:5">
      <c r="A4" s="43">
        <v>2</v>
      </c>
      <c r="B4" s="44" t="s">
        <v>104</v>
      </c>
      <c r="C4" s="46">
        <v>2000</v>
      </c>
      <c r="D4" s="44"/>
      <c r="E4" s="45" t="s">
        <v>105</v>
      </c>
    </row>
    <row r="5" ht="34" spans="1:5">
      <c r="A5" s="43">
        <v>3</v>
      </c>
      <c r="B5" s="44" t="s">
        <v>106</v>
      </c>
      <c r="C5" s="46">
        <v>0</v>
      </c>
      <c r="D5" s="44"/>
      <c r="E5" s="45" t="s">
        <v>107</v>
      </c>
    </row>
    <row r="6" ht="51" spans="1:5">
      <c r="A6" s="43">
        <v>4</v>
      </c>
      <c r="B6" s="44" t="s">
        <v>108</v>
      </c>
      <c r="C6" s="46">
        <v>5000</v>
      </c>
      <c r="D6" s="44"/>
      <c r="E6" s="45" t="s">
        <v>109</v>
      </c>
    </row>
    <row r="7" ht="135" spans="1:5">
      <c r="A7" s="43">
        <v>5</v>
      </c>
      <c r="B7" s="44" t="s">
        <v>110</v>
      </c>
      <c r="C7" s="46">
        <v>0</v>
      </c>
      <c r="D7" s="44"/>
      <c r="E7" s="45" t="s">
        <v>111</v>
      </c>
    </row>
    <row r="8" ht="51" spans="1:5">
      <c r="A8" s="43">
        <v>6</v>
      </c>
      <c r="B8" s="44" t="s">
        <v>112</v>
      </c>
      <c r="C8" s="46"/>
      <c r="D8" s="44"/>
      <c r="E8" s="45" t="s">
        <v>113</v>
      </c>
    </row>
    <row r="9" ht="70.2" customHeight="1" spans="1:5">
      <c r="A9" s="12" t="s">
        <v>18</v>
      </c>
      <c r="B9" s="13"/>
      <c r="C9" s="47">
        <f>SUM(C3:C8)</f>
        <v>10000</v>
      </c>
      <c r="D9" s="48" t="s">
        <v>114</v>
      </c>
      <c r="E9" s="49"/>
    </row>
  </sheetData>
  <mergeCells count="3">
    <mergeCell ref="A1:E1"/>
    <mergeCell ref="A9:B9"/>
    <mergeCell ref="D9:E9"/>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tabSelected="1" workbookViewId="0">
      <selection activeCell="C23" sqref="C23"/>
    </sheetView>
  </sheetViews>
  <sheetFormatPr defaultColWidth="9" defaultRowHeight="16.8" outlineLevelCol="4"/>
  <cols>
    <col min="1" max="1" width="8.66071428571429" style="22"/>
    <col min="2" max="2" width="27.6607142857143" style="22" customWidth="1"/>
    <col min="3" max="3" width="55.5535714285714" style="22" customWidth="1"/>
    <col min="4" max="4" width="45.4375" style="22" customWidth="1"/>
    <col min="5" max="5" width="15.2232142857143" style="22" customWidth="1"/>
    <col min="6" max="16384" width="8.88392857142857" style="22"/>
  </cols>
  <sheetData>
    <row r="1" ht="13.95" customHeight="1" spans="1:5">
      <c r="A1" s="23" t="s">
        <v>1</v>
      </c>
      <c r="B1" s="24" t="s">
        <v>2</v>
      </c>
      <c r="C1" s="24" t="s">
        <v>115</v>
      </c>
      <c r="D1" s="24" t="s">
        <v>116</v>
      </c>
      <c r="E1" s="24" t="s">
        <v>117</v>
      </c>
    </row>
    <row r="2" spans="1:5">
      <c r="A2" s="25"/>
      <c r="B2" s="26"/>
      <c r="C2" s="26"/>
      <c r="D2" s="26"/>
      <c r="E2" s="26"/>
    </row>
    <row r="3" spans="1:5">
      <c r="A3" s="27" t="s">
        <v>18</v>
      </c>
      <c r="B3" s="28"/>
      <c r="C3" s="28">
        <f>COUNTA(C4:C47)</f>
        <v>0</v>
      </c>
      <c r="D3" s="28">
        <f>COUNTA(D4:D47)</f>
        <v>41</v>
      </c>
      <c r="E3" s="28">
        <f>COUNTA(E4:E47)</f>
        <v>41</v>
      </c>
    </row>
    <row r="4" ht="17" spans="1:5">
      <c r="A4" s="29" t="s">
        <v>19</v>
      </c>
      <c r="B4" s="30" t="s">
        <v>118</v>
      </c>
      <c r="C4" s="30"/>
      <c r="D4" s="30"/>
      <c r="E4" s="30"/>
    </row>
    <row r="5" spans="1:5">
      <c r="A5" s="31">
        <v>1</v>
      </c>
      <c r="B5" s="31" t="s">
        <v>119</v>
      </c>
      <c r="C5" s="31"/>
      <c r="D5" s="31"/>
      <c r="E5" s="31"/>
    </row>
    <row r="6" ht="28.8" customHeight="1" spans="1:5">
      <c r="A6" s="32">
        <v>1.1</v>
      </c>
      <c r="B6" s="33" t="s">
        <v>120</v>
      </c>
      <c r="C6" s="34"/>
      <c r="D6" s="35" t="s">
        <v>23</v>
      </c>
      <c r="E6" s="35" t="s">
        <v>121</v>
      </c>
    </row>
    <row r="7" ht="17" spans="1:5">
      <c r="A7" s="36"/>
      <c r="B7" s="33"/>
      <c r="C7" s="34"/>
      <c r="D7" s="35" t="s">
        <v>27</v>
      </c>
      <c r="E7" s="35" t="s">
        <v>121</v>
      </c>
    </row>
    <row r="8" ht="17" spans="1:5">
      <c r="A8" s="36"/>
      <c r="B8" s="33"/>
      <c r="C8" s="34"/>
      <c r="D8" s="35" t="s">
        <v>23</v>
      </c>
      <c r="E8" s="35" t="s">
        <v>121</v>
      </c>
    </row>
    <row r="9" ht="17" spans="1:5">
      <c r="A9" s="36"/>
      <c r="B9" s="33"/>
      <c r="C9" s="34"/>
      <c r="D9" s="35" t="s">
        <v>26</v>
      </c>
      <c r="E9" s="35" t="s">
        <v>121</v>
      </c>
    </row>
    <row r="10" ht="17" spans="1:5">
      <c r="A10" s="36"/>
      <c r="B10" s="33"/>
      <c r="C10" s="34"/>
      <c r="D10" s="35" t="s">
        <v>23</v>
      </c>
      <c r="E10" s="35" t="s">
        <v>121</v>
      </c>
    </row>
    <row r="11" ht="17" spans="1:5">
      <c r="A11" s="36"/>
      <c r="B11" s="33"/>
      <c r="C11" s="34"/>
      <c r="D11" s="35" t="s">
        <v>23</v>
      </c>
      <c r="E11" s="35" t="s">
        <v>121</v>
      </c>
    </row>
    <row r="12" ht="17" spans="1:5">
      <c r="A12" s="36"/>
      <c r="B12" s="33"/>
      <c r="C12" s="34"/>
      <c r="D12" s="35" t="s">
        <v>26</v>
      </c>
      <c r="E12" s="35" t="s">
        <v>121</v>
      </c>
    </row>
    <row r="13" ht="17" spans="1:5">
      <c r="A13" s="36"/>
      <c r="B13" s="33"/>
      <c r="C13" s="34"/>
      <c r="D13" s="35" t="s">
        <v>23</v>
      </c>
      <c r="E13" s="35" t="s">
        <v>121</v>
      </c>
    </row>
    <row r="14" ht="17" spans="1:5">
      <c r="A14" s="36"/>
      <c r="B14" s="33" t="s">
        <v>120</v>
      </c>
      <c r="C14" s="34"/>
      <c r="D14" s="35" t="s">
        <v>23</v>
      </c>
      <c r="E14" s="35" t="s">
        <v>121</v>
      </c>
    </row>
    <row r="15" ht="17" spans="1:5">
      <c r="A15" s="36"/>
      <c r="B15" s="33"/>
      <c r="C15" s="34"/>
      <c r="D15" s="35" t="s">
        <v>26</v>
      </c>
      <c r="E15" s="35" t="s">
        <v>121</v>
      </c>
    </row>
    <row r="16" ht="17" spans="1:5">
      <c r="A16" s="36"/>
      <c r="B16" s="33"/>
      <c r="C16" s="34"/>
      <c r="D16" s="35" t="s">
        <v>26</v>
      </c>
      <c r="E16" s="35" t="s">
        <v>121</v>
      </c>
    </row>
    <row r="17" ht="17" spans="1:5">
      <c r="A17" s="36"/>
      <c r="B17" s="33"/>
      <c r="C17" s="34"/>
      <c r="D17" s="35" t="s">
        <v>26</v>
      </c>
      <c r="E17" s="35" t="s">
        <v>121</v>
      </c>
    </row>
    <row r="18" ht="17" spans="1:5">
      <c r="A18" s="36"/>
      <c r="B18" s="33"/>
      <c r="C18" s="34"/>
      <c r="D18" s="35" t="s">
        <v>23</v>
      </c>
      <c r="E18" s="35" t="s">
        <v>121</v>
      </c>
    </row>
    <row r="19" ht="17" spans="1:5">
      <c r="A19" s="36"/>
      <c r="B19" s="33"/>
      <c r="C19" s="34"/>
      <c r="D19" s="35" t="s">
        <v>23</v>
      </c>
      <c r="E19" s="35" t="s">
        <v>121</v>
      </c>
    </row>
    <row r="20" ht="17" spans="1:5">
      <c r="A20" s="36"/>
      <c r="B20" s="33"/>
      <c r="C20" s="34"/>
      <c r="D20" s="35" t="s">
        <v>23</v>
      </c>
      <c r="E20" s="35" t="s">
        <v>121</v>
      </c>
    </row>
    <row r="21" ht="17" spans="1:5">
      <c r="A21" s="36"/>
      <c r="B21" s="33"/>
      <c r="C21" s="34"/>
      <c r="D21" s="35" t="s">
        <v>23</v>
      </c>
      <c r="E21" s="35" t="s">
        <v>121</v>
      </c>
    </row>
    <row r="22" ht="17" spans="1:5">
      <c r="A22" s="36"/>
      <c r="B22" s="33"/>
      <c r="C22" s="34"/>
      <c r="D22" s="35" t="s">
        <v>24</v>
      </c>
      <c r="E22" s="35" t="s">
        <v>121</v>
      </c>
    </row>
    <row r="23" ht="17" spans="1:5">
      <c r="A23" s="36"/>
      <c r="B23" s="33"/>
      <c r="C23" s="34"/>
      <c r="D23" s="35" t="s">
        <v>23</v>
      </c>
      <c r="E23" s="35" t="s">
        <v>121</v>
      </c>
    </row>
    <row r="24" ht="17" spans="1:5">
      <c r="A24" s="36"/>
      <c r="B24" s="33"/>
      <c r="C24" s="34"/>
      <c r="D24" s="35" t="s">
        <v>23</v>
      </c>
      <c r="E24" s="35" t="s">
        <v>122</v>
      </c>
    </row>
    <row r="25" spans="1:5">
      <c r="A25" s="31">
        <v>2</v>
      </c>
      <c r="B25" s="31" t="s">
        <v>119</v>
      </c>
      <c r="C25" s="31"/>
      <c r="D25" s="31"/>
      <c r="E25" s="31"/>
    </row>
    <row r="26" ht="17" spans="1:5">
      <c r="A26" s="37">
        <v>2.1</v>
      </c>
      <c r="B26" s="37"/>
      <c r="C26" s="34"/>
      <c r="D26" s="35" t="s">
        <v>27</v>
      </c>
      <c r="E26" s="35" t="s">
        <v>121</v>
      </c>
    </row>
    <row r="27" ht="17" spans="1:5">
      <c r="A27" s="37"/>
      <c r="B27" s="37"/>
      <c r="C27" s="34"/>
      <c r="D27" s="35" t="s">
        <v>23</v>
      </c>
      <c r="E27" s="35" t="s">
        <v>121</v>
      </c>
    </row>
    <row r="28" ht="17" spans="1:5">
      <c r="A28" s="37"/>
      <c r="B28" s="37"/>
      <c r="C28" s="34"/>
      <c r="D28" s="35" t="s">
        <v>23</v>
      </c>
      <c r="E28" s="35" t="s">
        <v>121</v>
      </c>
    </row>
    <row r="29" ht="17" spans="1:5">
      <c r="A29" s="37"/>
      <c r="B29" s="37"/>
      <c r="C29" s="34"/>
      <c r="D29" s="35" t="s">
        <v>23</v>
      </c>
      <c r="E29" s="35" t="s">
        <v>121</v>
      </c>
    </row>
    <row r="30" ht="17" spans="1:5">
      <c r="A30" s="37"/>
      <c r="B30" s="37"/>
      <c r="C30" s="34"/>
      <c r="D30" s="35" t="s">
        <v>23</v>
      </c>
      <c r="E30" s="35" t="s">
        <v>121</v>
      </c>
    </row>
    <row r="31" ht="17" spans="1:5">
      <c r="A31" s="37"/>
      <c r="B31" s="37"/>
      <c r="C31" s="34"/>
      <c r="D31" s="35" t="s">
        <v>23</v>
      </c>
      <c r="E31" s="35" t="s">
        <v>121</v>
      </c>
    </row>
    <row r="32" ht="17" spans="1:5">
      <c r="A32" s="37"/>
      <c r="B32" s="37"/>
      <c r="C32" s="34"/>
      <c r="D32" s="35" t="s">
        <v>23</v>
      </c>
      <c r="E32" s="35" t="s">
        <v>121</v>
      </c>
    </row>
    <row r="33" ht="17" spans="1:5">
      <c r="A33" s="37"/>
      <c r="B33" s="37"/>
      <c r="C33" s="34"/>
      <c r="D33" s="35" t="s">
        <v>23</v>
      </c>
      <c r="E33" s="35" t="s">
        <v>121</v>
      </c>
    </row>
    <row r="34" ht="17" spans="1:5">
      <c r="A34" s="37"/>
      <c r="B34" s="37"/>
      <c r="C34" s="34"/>
      <c r="D34" s="35" t="s">
        <v>23</v>
      </c>
      <c r="E34" s="35" t="s">
        <v>121</v>
      </c>
    </row>
    <row r="35" ht="17" spans="1:5">
      <c r="A35" s="37"/>
      <c r="B35" s="37"/>
      <c r="C35" s="34"/>
      <c r="D35" s="35" t="s">
        <v>23</v>
      </c>
      <c r="E35" s="35" t="s">
        <v>121</v>
      </c>
    </row>
    <row r="36" ht="17" spans="1:5">
      <c r="A36" s="37"/>
      <c r="B36" s="37"/>
      <c r="C36" s="38"/>
      <c r="D36" s="35" t="s">
        <v>23</v>
      </c>
      <c r="E36" s="35" t="s">
        <v>121</v>
      </c>
    </row>
    <row r="37" ht="17" spans="1:5">
      <c r="A37" s="37"/>
      <c r="B37" s="37"/>
      <c r="C37" s="38"/>
      <c r="D37" s="35" t="s">
        <v>23</v>
      </c>
      <c r="E37" s="35" t="s">
        <v>121</v>
      </c>
    </row>
    <row r="38" ht="17" spans="1:5">
      <c r="A38" s="37"/>
      <c r="B38" s="37"/>
      <c r="C38" s="38"/>
      <c r="D38" s="35" t="s">
        <v>27</v>
      </c>
      <c r="E38" s="35" t="s">
        <v>121</v>
      </c>
    </row>
    <row r="39" ht="17" spans="1:5">
      <c r="A39" s="37"/>
      <c r="B39" s="37"/>
      <c r="C39" s="38"/>
      <c r="D39" s="35" t="s">
        <v>23</v>
      </c>
      <c r="E39" s="35" t="s">
        <v>121</v>
      </c>
    </row>
    <row r="40" ht="17" spans="1:5">
      <c r="A40" s="37"/>
      <c r="B40" s="37"/>
      <c r="C40" s="38"/>
      <c r="D40" s="35" t="s">
        <v>25</v>
      </c>
      <c r="E40" s="35" t="s">
        <v>121</v>
      </c>
    </row>
    <row r="41" ht="17" spans="1:5">
      <c r="A41" s="37"/>
      <c r="B41" s="37"/>
      <c r="C41" s="38"/>
      <c r="D41" s="35" t="s">
        <v>25</v>
      </c>
      <c r="E41" s="35" t="s">
        <v>121</v>
      </c>
    </row>
    <row r="42" ht="17" spans="1:5">
      <c r="A42" s="37"/>
      <c r="B42" s="37"/>
      <c r="C42" s="38"/>
      <c r="D42" s="35" t="s">
        <v>23</v>
      </c>
      <c r="E42" s="35" t="s">
        <v>121</v>
      </c>
    </row>
    <row r="43" ht="17" spans="1:5">
      <c r="A43" s="37"/>
      <c r="B43" s="37"/>
      <c r="C43" s="38"/>
      <c r="D43" s="35" t="s">
        <v>23</v>
      </c>
      <c r="E43" s="35" t="s">
        <v>121</v>
      </c>
    </row>
    <row r="44" ht="17" spans="1:5">
      <c r="A44" s="37"/>
      <c r="B44" s="37"/>
      <c r="C44" s="34"/>
      <c r="D44" s="35" t="s">
        <v>23</v>
      </c>
      <c r="E44" s="35" t="s">
        <v>121</v>
      </c>
    </row>
    <row r="45" ht="17" spans="1:5">
      <c r="A45" s="37"/>
      <c r="B45" s="37"/>
      <c r="C45" s="38"/>
      <c r="D45" s="35" t="s">
        <v>24</v>
      </c>
      <c r="E45" s="35" t="s">
        <v>121</v>
      </c>
    </row>
    <row r="46" ht="17" spans="1:5">
      <c r="A46" s="37"/>
      <c r="B46" s="37"/>
      <c r="C46" s="38"/>
      <c r="D46" s="35" t="s">
        <v>23</v>
      </c>
      <c r="E46" s="35" t="s">
        <v>123</v>
      </c>
    </row>
    <row r="47" ht="17" spans="1:5">
      <c r="A47" s="37"/>
      <c r="B47" s="37"/>
      <c r="C47" s="38"/>
      <c r="D47" s="35" t="s">
        <v>23</v>
      </c>
      <c r="E47" s="35" t="s">
        <v>122</v>
      </c>
    </row>
  </sheetData>
  <mergeCells count="11">
    <mergeCell ref="A3:B3"/>
    <mergeCell ref="A1:A2"/>
    <mergeCell ref="A6:A24"/>
    <mergeCell ref="A26:A47"/>
    <mergeCell ref="B1:B2"/>
    <mergeCell ref="B6:B13"/>
    <mergeCell ref="B14:B24"/>
    <mergeCell ref="B26:B47"/>
    <mergeCell ref="C1:C2"/>
    <mergeCell ref="D1:D2"/>
    <mergeCell ref="E1:E2"/>
  </mergeCells>
  <conditionalFormatting sqref="C47">
    <cfRule type="duplicateValues" dxfId="0" priority="123"/>
    <cfRule type="duplicateValues" dxfId="0" priority="124"/>
  </conditionalFormatting>
  <conditionalFormatting sqref="C6:C24">
    <cfRule type="duplicateValues" dxfId="0" priority="135"/>
    <cfRule type="duplicateValues" dxfId="0" priority="136"/>
  </conditionalFormatting>
  <dataValidations count="2">
    <dataValidation type="list" allowBlank="1" showInputMessage="1" showErrorMessage="1" sqref="D6:D24 D26:D47">
      <formula1>"ILF,EIF,EI,EO,EQ"</formula1>
    </dataValidation>
    <dataValidation type="list" allowBlank="1" showInputMessage="1" showErrorMessage="1" sqref="E6:E24 E26:E47">
      <formula1>"高,中,低"</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zoomScale="85" zoomScaleNormal="85" workbookViewId="0">
      <selection activeCell="L28" sqref="L28"/>
    </sheetView>
  </sheetViews>
  <sheetFormatPr defaultColWidth="9" defaultRowHeight="16.8"/>
  <cols>
    <col min="4" max="4" width="11.4375" customWidth="1"/>
    <col min="5" max="5" width="16.4375" customWidth="1"/>
    <col min="8" max="8" width="45.2232142857143" customWidth="1"/>
    <col min="9" max="10" width="30" customWidth="1"/>
  </cols>
  <sheetData>
    <row r="1" ht="19.95" spans="1:10">
      <c r="A1" s="1" t="s">
        <v>124</v>
      </c>
      <c r="B1" s="1"/>
      <c r="C1" s="1"/>
      <c r="D1" s="1"/>
      <c r="E1" s="1"/>
      <c r="H1" s="2" t="s">
        <v>125</v>
      </c>
      <c r="I1" s="2"/>
      <c r="J1" s="2"/>
    </row>
    <row r="2" ht="27.6" customHeight="1" spans="1:10">
      <c r="A2" s="3" t="s">
        <v>126</v>
      </c>
      <c r="B2" s="3" t="s">
        <v>127</v>
      </c>
      <c r="C2" s="3"/>
      <c r="D2" s="3" t="s">
        <v>4</v>
      </c>
      <c r="E2" s="3" t="s">
        <v>128</v>
      </c>
      <c r="H2" s="4" t="s">
        <v>129</v>
      </c>
      <c r="I2" s="5"/>
      <c r="J2" s="6">
        <f>E11</f>
        <v>999</v>
      </c>
    </row>
    <row r="3" customHeight="1" spans="1:10">
      <c r="A3" s="3" t="s">
        <v>23</v>
      </c>
      <c r="B3" s="3" t="s">
        <v>121</v>
      </c>
      <c r="C3" s="3">
        <f>COUNTIFS('2-功能点清单'!$C$4:$C$513,"&lt;&gt; ",'2-功能点清单'!$D$4:$D$513,'2-软件计算过程-估算规模'!A3,'2-功能点清单'!$E$4:$E$513,'2-软件计算过程-预估规模'!B3)</f>
        <v>26</v>
      </c>
      <c r="D3" s="3">
        <f>ROUND(C3*1*35,0)</f>
        <v>910</v>
      </c>
      <c r="E3" s="7">
        <f>ROUND((D3+D4+D5),0)</f>
        <v>969</v>
      </c>
      <c r="H3" s="4" t="s">
        <v>130</v>
      </c>
      <c r="I3" s="5"/>
      <c r="J3" s="6" t="s">
        <v>131</v>
      </c>
    </row>
    <row r="4" spans="1:10">
      <c r="A4" s="3"/>
      <c r="B4" s="3" t="s">
        <v>122</v>
      </c>
      <c r="C4" s="3">
        <f>COUNTIFS('2-功能点清单'!$C$4:$C$513,"&lt;&gt; ",'2-功能点清单'!$D$4:$D$513,'2-软件计算过程-估算规模'!A3,'2-功能点清单'!$E$4:$E$513,'2-软件计算过程-预估规模'!B4)</f>
        <v>2</v>
      </c>
      <c r="D4" s="3">
        <f>ROUND(C4*2/3*35,0)</f>
        <v>47</v>
      </c>
      <c r="E4" s="8"/>
      <c r="H4" s="4" t="s">
        <v>132</v>
      </c>
      <c r="I4" s="5"/>
      <c r="J4" s="6">
        <f>'2-项目参数'!F10</f>
        <v>1.39</v>
      </c>
    </row>
    <row r="5" ht="17" spans="1:10">
      <c r="A5" s="3"/>
      <c r="B5" s="3" t="s">
        <v>123</v>
      </c>
      <c r="C5" s="3">
        <f>COUNTIFS('2-功能点清单'!$C$4:$C$513,"&lt;&gt; ",'2-功能点清单'!$D$4:$D$513,'2-软件计算过程-估算规模'!A3,'2-功能点清单'!$E$4:$E$513,'2-软件计算过程-预估规模'!B5)</f>
        <v>1</v>
      </c>
      <c r="D5" s="3">
        <f>ROUND(C5*1/3*35,0)</f>
        <v>12</v>
      </c>
      <c r="E5" s="8"/>
      <c r="H5" s="4" t="s">
        <v>133</v>
      </c>
      <c r="I5" s="5" t="s">
        <v>134</v>
      </c>
      <c r="J5" s="6">
        <f>J4*J2</f>
        <v>1388.61</v>
      </c>
    </row>
    <row r="6" spans="1:10">
      <c r="A6" s="3"/>
      <c r="B6" s="15" t="s">
        <v>135</v>
      </c>
      <c r="C6" s="16"/>
      <c r="D6" s="17"/>
      <c r="E6" s="9"/>
      <c r="H6" s="4"/>
      <c r="I6" s="5"/>
      <c r="J6" s="6"/>
    </row>
    <row r="7" ht="17" spans="1:10">
      <c r="A7" s="3" t="s">
        <v>24</v>
      </c>
      <c r="B7" s="3" t="s">
        <v>121</v>
      </c>
      <c r="C7" s="3">
        <f>COUNTIFS('2-功能点清单'!$C$4:$C$513,"&lt;&gt; ",'2-功能点清单'!$D$4:$D$513,A7,'2-功能点清单'!$E$4:$E$513,'2-软件计算过程-预估规模'!B7)</f>
        <v>2</v>
      </c>
      <c r="D7" s="3">
        <f>ROUND(C7*1*15,0)</f>
        <v>30</v>
      </c>
      <c r="E7" s="3">
        <f>D7+D8+D9</f>
        <v>30</v>
      </c>
      <c r="H7" s="4"/>
      <c r="I7" s="5" t="s">
        <v>136</v>
      </c>
      <c r="J7" s="6" t="s">
        <v>131</v>
      </c>
    </row>
    <row r="8" ht="17" spans="1:10">
      <c r="A8" s="3"/>
      <c r="B8" s="3" t="s">
        <v>122</v>
      </c>
      <c r="C8" s="3">
        <f>COUNTIFS('2-功能点清单'!$C$4:$C$513,"&lt;&gt; ",'2-功能点清单'!$D$4:$D$513,A7,'2-功能点清单'!$E$4:$E$513,'2-软件计算过程-预估规模'!B8)</f>
        <v>0</v>
      </c>
      <c r="D8" s="3">
        <f>ROUND(C8*(2/3)*15,0)</f>
        <v>0</v>
      </c>
      <c r="E8" s="3"/>
      <c r="H8" s="4" t="s">
        <v>137</v>
      </c>
      <c r="I8" s="5" t="s">
        <v>138</v>
      </c>
      <c r="J8" s="10">
        <f>0.75*J9</f>
        <v>4.8825</v>
      </c>
    </row>
    <row r="9" ht="17" spans="1:10">
      <c r="A9" s="3"/>
      <c r="B9" s="3" t="s">
        <v>123</v>
      </c>
      <c r="C9" s="3">
        <f>COUNTIFS('2-功能点清单'!$C$4:$C$513,"&lt;&gt; ",'2-功能点清单'!$D$4:$D$513,A7,'2-功能点清单'!$E$4:$E$513,'2-软件计算过程-预估规模'!B9)</f>
        <v>0</v>
      </c>
      <c r="D9" s="3">
        <f>ROUND(C9*(1/3)*15,0)</f>
        <v>0</v>
      </c>
      <c r="E9" s="3"/>
      <c r="H9" s="4"/>
      <c r="I9" s="5" t="s">
        <v>139</v>
      </c>
      <c r="J9" s="6">
        <f>'2-项目参数'!F12</f>
        <v>6.51</v>
      </c>
    </row>
    <row r="10" ht="17" spans="1:10">
      <c r="A10" s="3"/>
      <c r="B10" s="15" t="s">
        <v>140</v>
      </c>
      <c r="C10" s="16"/>
      <c r="D10" s="17"/>
      <c r="E10" s="3"/>
      <c r="H10" s="4"/>
      <c r="I10" s="5" t="s">
        <v>141</v>
      </c>
      <c r="J10" s="10">
        <f>1.25*J9</f>
        <v>8.1375</v>
      </c>
    </row>
    <row r="11" ht="17" spans="1:10">
      <c r="A11" s="3" t="s">
        <v>142</v>
      </c>
      <c r="B11" s="3"/>
      <c r="C11" s="3"/>
      <c r="D11" s="3"/>
      <c r="E11" s="3">
        <f>E3+E7</f>
        <v>999</v>
      </c>
      <c r="H11" s="4" t="s">
        <v>143</v>
      </c>
      <c r="I11" s="5" t="s">
        <v>144</v>
      </c>
      <c r="J11" s="6">
        <f>J5*J8</f>
        <v>6779.888325</v>
      </c>
    </row>
    <row r="12" ht="17" spans="1:10">
      <c r="A12" s="3" t="s">
        <v>145</v>
      </c>
      <c r="B12" s="3"/>
      <c r="C12" s="3"/>
      <c r="D12" s="3"/>
      <c r="E12" s="3">
        <v>1.39</v>
      </c>
      <c r="H12" s="4"/>
      <c r="I12" s="5" t="s">
        <v>146</v>
      </c>
      <c r="J12" s="6">
        <f>J5*J9</f>
        <v>9039.8511</v>
      </c>
    </row>
    <row r="13" ht="17" spans="1:10">
      <c r="A13" s="3" t="s">
        <v>147</v>
      </c>
      <c r="B13" s="3"/>
      <c r="C13" s="3"/>
      <c r="D13" s="3"/>
      <c r="E13" s="3">
        <f>ROUND(E11*E12,0)</f>
        <v>1389</v>
      </c>
      <c r="H13" s="4"/>
      <c r="I13" s="5" t="s">
        <v>148</v>
      </c>
      <c r="J13" s="6">
        <f>J5*J10</f>
        <v>11299.813875</v>
      </c>
    </row>
    <row r="14" ht="37.2" customHeight="1" spans="1:10">
      <c r="A14" s="18" t="s">
        <v>149</v>
      </c>
      <c r="B14" s="19"/>
      <c r="C14" s="19"/>
      <c r="D14" s="19"/>
      <c r="E14" s="19"/>
      <c r="H14" s="4" t="s">
        <v>150</v>
      </c>
      <c r="I14" s="5" t="s">
        <v>151</v>
      </c>
      <c r="J14" s="6">
        <f>'2-项目参数'!F3</f>
        <v>1</v>
      </c>
    </row>
    <row r="15" ht="17" spans="1:10">
      <c r="H15" s="4"/>
      <c r="I15" s="5" t="s">
        <v>152</v>
      </c>
      <c r="J15" s="6">
        <f>'2-项目参数'!F4</f>
        <v>1.075</v>
      </c>
    </row>
    <row r="16" ht="13.8" customHeight="1" spans="1:10">
      <c r="H16" s="4"/>
      <c r="I16" s="5" t="s">
        <v>153</v>
      </c>
      <c r="J16" s="6">
        <f>'2-项目参数'!F8</f>
        <v>1</v>
      </c>
    </row>
    <row r="17" ht="17" spans="8:10">
      <c r="H17" s="4"/>
      <c r="I17" s="5" t="s">
        <v>154</v>
      </c>
      <c r="J17" s="6">
        <f>'2-项目参数'!F11</f>
        <v>1</v>
      </c>
    </row>
    <row r="18" ht="17" spans="8:10">
      <c r="H18" s="4" t="s">
        <v>155</v>
      </c>
      <c r="I18" s="5" t="s">
        <v>144</v>
      </c>
      <c r="J18" s="6">
        <f>PRODUCT(J14:J17)*J11</f>
        <v>7288.379949375</v>
      </c>
    </row>
    <row r="19" ht="12" customHeight="1" spans="8:10">
      <c r="H19" s="4"/>
      <c r="I19" s="5" t="s">
        <v>146</v>
      </c>
      <c r="J19" s="6">
        <f>PRODUCT(J14:J17)*J12</f>
        <v>9717.8399325</v>
      </c>
    </row>
    <row r="20" ht="17" spans="8:10">
      <c r="H20" s="4"/>
      <c r="I20" s="5" t="s">
        <v>148</v>
      </c>
      <c r="J20" s="6">
        <f>PRODUCT(J14:J17)*J13</f>
        <v>12147.299915625</v>
      </c>
    </row>
    <row r="21" spans="8:10">
      <c r="H21" s="4" t="s">
        <v>156</v>
      </c>
      <c r="I21" s="5"/>
      <c r="J21" s="6">
        <v>176</v>
      </c>
    </row>
    <row r="22" spans="8:10">
      <c r="H22" s="4" t="s">
        <v>157</v>
      </c>
      <c r="I22" s="5"/>
      <c r="J22" s="6">
        <f>'2-项目参数'!F13</f>
        <v>21015</v>
      </c>
    </row>
    <row r="23" ht="27.6" customHeight="1" spans="8:10">
      <c r="H23" s="4" t="s">
        <v>158</v>
      </c>
      <c r="I23" s="5"/>
      <c r="J23" s="6">
        <f>'2-直接非人力成本测算表'!$C$9</f>
        <v>10000</v>
      </c>
    </row>
    <row r="24" ht="21.6" customHeight="1" spans="8:10">
      <c r="H24" s="4" t="s">
        <v>159</v>
      </c>
      <c r="I24" s="5" t="s">
        <v>160</v>
      </c>
      <c r="J24" s="6">
        <f>ROUND(J18/J21*J22+J23,2)</f>
        <v>880257.41</v>
      </c>
    </row>
    <row r="25" ht="15" customHeight="1" spans="8:10">
      <c r="H25" s="4"/>
      <c r="I25" s="5" t="s">
        <v>161</v>
      </c>
      <c r="J25" s="6">
        <f>ROUND(J19/J21*J22+J23,2)</f>
        <v>1170343.22</v>
      </c>
    </row>
    <row r="26" ht="17" spans="8:10">
      <c r="H26" s="4"/>
      <c r="I26" s="5" t="s">
        <v>162</v>
      </c>
      <c r="J26" s="6">
        <f>ROUND(J20/J21*J22+J23,2)</f>
        <v>1460429.02</v>
      </c>
    </row>
    <row r="27" ht="17" spans="8:10">
      <c r="H27" s="4"/>
      <c r="I27" s="5" t="s">
        <v>163</v>
      </c>
      <c r="J27" s="20">
        <f>J25</f>
        <v>1170343.22</v>
      </c>
    </row>
    <row r="28" ht="17.75" spans="8:10">
      <c r="H28" s="12"/>
      <c r="I28" s="13" t="s">
        <v>164</v>
      </c>
      <c r="J28" s="21">
        <f>ROUND((J27-J23)/J5,2)</f>
        <v>835.61</v>
      </c>
    </row>
    <row r="29" ht="17.4" customHeight="1"/>
  </sheetData>
  <mergeCells count="25">
    <mergeCell ref="A1:E1"/>
    <mergeCell ref="H1:J1"/>
    <mergeCell ref="B2:C2"/>
    <mergeCell ref="H2:I2"/>
    <mergeCell ref="H3:I3"/>
    <mergeCell ref="H4:I4"/>
    <mergeCell ref="B6:D6"/>
    <mergeCell ref="B10:D10"/>
    <mergeCell ref="A11:D11"/>
    <mergeCell ref="A12:D12"/>
    <mergeCell ref="A13:D13"/>
    <mergeCell ref="A14:E14"/>
    <mergeCell ref="H21:I21"/>
    <mergeCell ref="H22:I22"/>
    <mergeCell ref="H23:I23"/>
    <mergeCell ref="A3:A5"/>
    <mergeCell ref="A7:A10"/>
    <mergeCell ref="E3:E6"/>
    <mergeCell ref="E7:E10"/>
    <mergeCell ref="H5:H7"/>
    <mergeCell ref="H8:H10"/>
    <mergeCell ref="H11:H13"/>
    <mergeCell ref="H14:H17"/>
    <mergeCell ref="H18:H20"/>
    <mergeCell ref="H24:H28"/>
  </mergeCell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
  <sheetViews>
    <sheetView workbookViewId="0">
      <selection activeCell="I24" sqref="I24"/>
    </sheetView>
  </sheetViews>
  <sheetFormatPr defaultColWidth="9" defaultRowHeight="16.8"/>
  <cols>
    <col min="4" max="4" width="11.4375" customWidth="1"/>
    <col min="5" max="5" width="16.4375" customWidth="1"/>
    <col min="7" max="7" width="45.2232142857143" customWidth="1"/>
    <col min="8" max="9" width="30" customWidth="1"/>
  </cols>
  <sheetData>
    <row r="1" ht="19.95" spans="1:9">
      <c r="A1" s="1" t="s">
        <v>165</v>
      </c>
      <c r="B1" s="1"/>
      <c r="C1" s="1"/>
      <c r="D1" s="1"/>
      <c r="E1" s="1"/>
      <c r="G1" s="2" t="s">
        <v>166</v>
      </c>
      <c r="H1" s="2"/>
      <c r="I1" s="2"/>
    </row>
    <row r="2" ht="27.6" customHeight="1" spans="1:9">
      <c r="A2" s="3" t="s">
        <v>126</v>
      </c>
      <c r="B2" s="3" t="s">
        <v>127</v>
      </c>
      <c r="C2" s="3"/>
      <c r="D2" s="3" t="s">
        <v>4</v>
      </c>
      <c r="E2" s="3" t="s">
        <v>128</v>
      </c>
      <c r="G2" s="4" t="s">
        <v>167</v>
      </c>
      <c r="H2" s="5"/>
      <c r="I2" s="6">
        <f>E18</f>
        <v>335</v>
      </c>
    </row>
    <row r="3" ht="41.4" customHeight="1" spans="1:9">
      <c r="A3" s="7" t="s">
        <v>23</v>
      </c>
      <c r="B3" s="3" t="s">
        <v>121</v>
      </c>
      <c r="C3" s="3">
        <f>COUNTIFS('2-功能点清单'!$C$4:$C$513,"&lt;&gt; ",'2-功能点清单'!$D$4:$D$513,A3,'2-功能点清单'!$E$4:$E$513,B3)</f>
        <v>26</v>
      </c>
      <c r="D3" s="3">
        <f>ROUND(C3*1*10,0)</f>
        <v>260</v>
      </c>
      <c r="E3" s="3">
        <f>ROUND((D3+D4+D5),0)</f>
        <v>276</v>
      </c>
      <c r="G3" s="4" t="s">
        <v>168</v>
      </c>
      <c r="H3" s="5"/>
      <c r="I3" s="6">
        <f>I2*'2-项目参数'!F9</f>
        <v>335</v>
      </c>
    </row>
    <row r="4" spans="1:9">
      <c r="A4" s="8"/>
      <c r="B4" s="3" t="s">
        <v>122</v>
      </c>
      <c r="C4" s="3">
        <f>COUNTIFS('2-功能点清单'!$C$4:$C$513,"&lt;&gt; ",'2-功能点清单'!$D$4:$D$513,A3,'2-功能点清单'!$E$4:$E$513,B4)</f>
        <v>2</v>
      </c>
      <c r="D4" s="3">
        <f>ROUND(C4*(2/3)*10,0)</f>
        <v>13</v>
      </c>
      <c r="E4" s="3"/>
      <c r="G4" s="4" t="s">
        <v>132</v>
      </c>
      <c r="H4" s="5"/>
      <c r="I4" s="6">
        <f>'2-项目参数'!F10</f>
        <v>1.39</v>
      </c>
    </row>
    <row r="5" ht="17" spans="1:9">
      <c r="A5" s="9"/>
      <c r="B5" s="3" t="s">
        <v>123</v>
      </c>
      <c r="C5" s="3">
        <f>COUNTIFS('2-功能点清单'!$C$4:$C$513,"&lt;&gt; ",'2-功能点清单'!$D$4:$D$513,A3,'2-功能点清单'!$E$4:$E$513,B5)</f>
        <v>1</v>
      </c>
      <c r="D5" s="3">
        <f>ROUND(C5*(1/3)*10,0)</f>
        <v>3</v>
      </c>
      <c r="E5" s="3"/>
      <c r="G5" s="4" t="s">
        <v>133</v>
      </c>
      <c r="H5" s="5" t="s">
        <v>134</v>
      </c>
      <c r="I5" s="6">
        <f>I4*I2</f>
        <v>465.65</v>
      </c>
    </row>
    <row r="6" ht="17" spans="1:9">
      <c r="A6" s="7" t="s">
        <v>24</v>
      </c>
      <c r="B6" s="3" t="s">
        <v>121</v>
      </c>
      <c r="C6" s="3">
        <f>COUNTIFS('2-功能点清单'!$C$4:$C$513,"&lt;&gt; ",'2-功能点清单'!$D$4:$D$513,A6,'2-功能点清单'!$E$4:$E$513,B6)</f>
        <v>2</v>
      </c>
      <c r="D6" s="3">
        <f>ROUND(C6*1*7,0)</f>
        <v>14</v>
      </c>
      <c r="E6" s="3">
        <f>D6+D7+D8</f>
        <v>14</v>
      </c>
      <c r="G6" s="4"/>
      <c r="H6" s="5" t="s">
        <v>136</v>
      </c>
      <c r="I6" s="6">
        <f>I4*I3</f>
        <v>465.65</v>
      </c>
    </row>
    <row r="7" ht="17" spans="1:9">
      <c r="A7" s="8"/>
      <c r="B7" s="3" t="s">
        <v>122</v>
      </c>
      <c r="C7" s="3">
        <f>COUNTIFS('2-功能点清单'!$C$4:$C$513,"&lt;&gt; ",'2-功能点清单'!$D$4:$D$513,A6,'2-功能点清单'!$E$4:$E$513,B7)</f>
        <v>0</v>
      </c>
      <c r="D7" s="3">
        <f>ROUND(C7*(2/3)*7,0)</f>
        <v>0</v>
      </c>
      <c r="E7" s="3"/>
      <c r="G7" s="4" t="s">
        <v>137</v>
      </c>
      <c r="H7" s="5" t="s">
        <v>138</v>
      </c>
      <c r="I7" s="10">
        <f>ROUND(I8*0.75,2)</f>
        <v>4.88</v>
      </c>
    </row>
    <row r="8" ht="17" spans="1:9">
      <c r="A8" s="9"/>
      <c r="B8" s="3" t="s">
        <v>123</v>
      </c>
      <c r="C8" s="3">
        <f>COUNTIFS('2-功能点清单'!$C$4:$C$513,"&lt;&gt; ",'2-功能点清单'!$D$4:$D$513,A6,'2-功能点清单'!$E$4:$E$513,B8)</f>
        <v>0</v>
      </c>
      <c r="D8" s="3">
        <f>ROUND(C8*(1/3)*7,0)</f>
        <v>0</v>
      </c>
      <c r="E8" s="3"/>
      <c r="G8" s="4"/>
      <c r="H8" s="5" t="s">
        <v>139</v>
      </c>
      <c r="I8" s="6">
        <f>'2-项目参数'!F12</f>
        <v>6.51</v>
      </c>
    </row>
    <row r="9" ht="17" spans="1:9">
      <c r="A9" s="7" t="s">
        <v>25</v>
      </c>
      <c r="B9" s="3" t="s">
        <v>121</v>
      </c>
      <c r="C9" s="3">
        <f>COUNTIFS('2-功能点清单'!$C$4:$C$513,"&lt;&gt; ",'2-功能点清单'!$D$4:$D$513,A9,'2-功能点清单'!$E$4:$E$513,B9)</f>
        <v>2</v>
      </c>
      <c r="D9" s="3">
        <f>ROUND(C9*1*4,0)</f>
        <v>8</v>
      </c>
      <c r="E9" s="3">
        <f>D9+D10+D11</f>
        <v>8</v>
      </c>
      <c r="G9" s="4"/>
      <c r="H9" s="5" t="s">
        <v>141</v>
      </c>
      <c r="I9" s="10">
        <f>ROUND(I8*1.25,2)</f>
        <v>8.14</v>
      </c>
    </row>
    <row r="10" ht="17" spans="1:9">
      <c r="A10" s="8"/>
      <c r="B10" s="3" t="s">
        <v>122</v>
      </c>
      <c r="C10" s="3">
        <f>COUNTIFS('2-功能点清单'!$C$4:$C$513,"&lt;&gt; ",'2-功能点清单'!$D$4:$D$513,A9,'2-功能点清单'!$E$4:$E$513,B10)</f>
        <v>0</v>
      </c>
      <c r="D10" s="3">
        <f>ROUND(C10*(2/3)*4,0)</f>
        <v>0</v>
      </c>
      <c r="E10" s="3"/>
      <c r="G10" s="4" t="s">
        <v>143</v>
      </c>
      <c r="H10" s="5" t="s">
        <v>144</v>
      </c>
      <c r="I10" s="6">
        <f>I6*I7</f>
        <v>2272.372</v>
      </c>
    </row>
    <row r="11" ht="17" spans="1:9">
      <c r="A11" s="9"/>
      <c r="B11" s="3" t="s">
        <v>123</v>
      </c>
      <c r="C11" s="3">
        <f>COUNTIFS('2-功能点清单'!$C$4:$C$513,"&lt;&gt; ",'2-功能点清单'!$D$4:$D$513,A9,'2-功能点清单'!$E$4:$E$513,B11)</f>
        <v>0</v>
      </c>
      <c r="D11" s="3">
        <f>ROUND(C11*(1/3)*4,0)</f>
        <v>0</v>
      </c>
      <c r="E11" s="3"/>
      <c r="G11" s="4"/>
      <c r="H11" s="5" t="s">
        <v>146</v>
      </c>
      <c r="I11" s="6">
        <f>I6*I8</f>
        <v>3031.3815</v>
      </c>
    </row>
    <row r="12" ht="17" spans="1:9">
      <c r="A12" s="7" t="s">
        <v>26</v>
      </c>
      <c r="B12" s="3" t="s">
        <v>121</v>
      </c>
      <c r="C12" s="3">
        <f>COUNTIFS('2-功能点清单'!$C$4:$C$513,"&lt;&gt; ",'2-功能点清单'!$D$4:$D$513,A12,'2-功能点清单'!$E$4:$E$513,B12)</f>
        <v>5</v>
      </c>
      <c r="D12" s="3">
        <f>ROUND(C12*1*5,0)</f>
        <v>25</v>
      </c>
      <c r="E12" s="3">
        <f>D12+D13+D14</f>
        <v>25</v>
      </c>
      <c r="G12" s="4"/>
      <c r="H12" s="5" t="s">
        <v>148</v>
      </c>
      <c r="I12" s="6">
        <f>I6*I9</f>
        <v>3790.391</v>
      </c>
    </row>
    <row r="13" ht="17" spans="1:9">
      <c r="A13" s="8"/>
      <c r="B13" s="3" t="s">
        <v>122</v>
      </c>
      <c r="C13" s="3">
        <f>COUNTIFS('2-功能点清单'!$C$4:$C$513,"&lt;&gt; ",'2-功能点清单'!$D$4:$D$513,A12,'2-功能点清单'!$E$4:$E$513,B13)</f>
        <v>0</v>
      </c>
      <c r="D13" s="3">
        <f>ROUND(C13*(2/3)*5,0)</f>
        <v>0</v>
      </c>
      <c r="E13" s="3"/>
      <c r="G13" s="4" t="s">
        <v>150</v>
      </c>
      <c r="H13" s="5" t="s">
        <v>151</v>
      </c>
      <c r="I13" s="6">
        <f>'2-项目参数'!F3</f>
        <v>1</v>
      </c>
    </row>
    <row r="14" ht="13.8" customHeight="1" spans="1:9">
      <c r="A14" s="9"/>
      <c r="B14" s="3" t="s">
        <v>123</v>
      </c>
      <c r="C14" s="3">
        <f>COUNTIFS('2-功能点清单'!$C$4:$C$513,"&lt;&gt; ",'2-功能点清单'!$D$4:$D$513,A12,'2-功能点清单'!$E$4:$E$513,B14)</f>
        <v>0</v>
      </c>
      <c r="D14" s="3">
        <f>ROUND(C14*(1/3)*5,0)</f>
        <v>0</v>
      </c>
      <c r="E14" s="3"/>
      <c r="G14" s="4"/>
      <c r="H14" s="5" t="s">
        <v>152</v>
      </c>
      <c r="I14" s="6">
        <f>'2-项目参数'!F4</f>
        <v>1.075</v>
      </c>
    </row>
    <row r="15" ht="17" spans="1:9">
      <c r="A15" s="7" t="s">
        <v>27</v>
      </c>
      <c r="B15" s="3" t="s">
        <v>121</v>
      </c>
      <c r="C15" s="3">
        <f>COUNTIFS('2-功能点清单'!$C$4:$C$513,"&lt;&gt; ",'2-功能点清单'!$D$4:$D$513,A15,'2-功能点清单'!$E$4:$E$513,B15)</f>
        <v>3</v>
      </c>
      <c r="D15" s="3">
        <f>ROUND(C15*1*4,0)</f>
        <v>12</v>
      </c>
      <c r="E15" s="3">
        <f>D15+D16+D17</f>
        <v>12</v>
      </c>
      <c r="G15" s="4"/>
      <c r="H15" s="5" t="s">
        <v>153</v>
      </c>
      <c r="I15" s="6">
        <f>'2-项目参数'!F8</f>
        <v>1</v>
      </c>
    </row>
    <row r="16" ht="17" spans="1:9">
      <c r="A16" s="8"/>
      <c r="B16" s="3" t="s">
        <v>122</v>
      </c>
      <c r="C16" s="3">
        <f>COUNTIFS('2-功能点清单'!$C$4:$C$513,"&lt;&gt; ",'2-功能点清单'!$D$4:$D$513,A15,'2-功能点清单'!$E$4:$E$513,B16)</f>
        <v>0</v>
      </c>
      <c r="D16" s="3">
        <f>ROUND(C16*(2/3)*4,0)</f>
        <v>0</v>
      </c>
      <c r="E16" s="3"/>
      <c r="G16" s="4"/>
      <c r="H16" s="5" t="s">
        <v>154</v>
      </c>
      <c r="I16" s="6">
        <f>'2-项目参数'!F11</f>
        <v>1</v>
      </c>
    </row>
    <row r="17" ht="12" customHeight="1" spans="1:9">
      <c r="A17" s="9"/>
      <c r="B17" s="3" t="s">
        <v>123</v>
      </c>
      <c r="C17" s="3">
        <f>COUNTIFS('2-功能点清单'!$C$4:$C$513,"&lt;&gt; ",'2-功能点清单'!$D$4:$D$513,A15,'2-功能点清单'!$E$4:$E$513,B17)</f>
        <v>0</v>
      </c>
      <c r="D17" s="3">
        <f>ROUND(C17*(1/3)*4,0)</f>
        <v>0</v>
      </c>
      <c r="E17" s="3"/>
      <c r="G17" s="4" t="s">
        <v>155</v>
      </c>
      <c r="H17" s="5" t="s">
        <v>144</v>
      </c>
      <c r="I17" s="6">
        <f>PRODUCT(I13:I16)*I10</f>
        <v>2442.7999</v>
      </c>
    </row>
    <row r="18" ht="17" spans="1:9">
      <c r="A18" s="3" t="s">
        <v>142</v>
      </c>
      <c r="B18" s="3"/>
      <c r="C18" s="3"/>
      <c r="D18" s="3"/>
      <c r="E18" s="3">
        <f>E3+E6+E9+E12+E15</f>
        <v>335</v>
      </c>
      <c r="G18" s="4"/>
      <c r="H18" s="5" t="s">
        <v>146</v>
      </c>
      <c r="I18" s="6">
        <f>PRODUCT(I13:I16)*I11</f>
        <v>3258.7351125</v>
      </c>
    </row>
    <row r="19" ht="17" spans="1:9">
      <c r="A19" s="3" t="s">
        <v>145</v>
      </c>
      <c r="B19" s="3"/>
      <c r="C19" s="3"/>
      <c r="D19" s="3"/>
      <c r="E19" s="3">
        <f>'2-项目参数'!F10</f>
        <v>1.39</v>
      </c>
      <c r="G19" s="4"/>
      <c r="H19" s="5" t="s">
        <v>148</v>
      </c>
      <c r="I19" s="6">
        <f>PRODUCT(I13:I16)*I12</f>
        <v>4074.670325</v>
      </c>
    </row>
    <row r="20" spans="1:9">
      <c r="A20" s="3" t="s">
        <v>147</v>
      </c>
      <c r="B20" s="3"/>
      <c r="C20" s="3"/>
      <c r="D20" s="3"/>
      <c r="E20" s="3">
        <f>ROUND(E18*E19,0)</f>
        <v>466</v>
      </c>
      <c r="G20" s="4" t="s">
        <v>156</v>
      </c>
      <c r="H20" s="5"/>
      <c r="I20" s="6">
        <v>176</v>
      </c>
    </row>
    <row r="21" ht="27.6" customHeight="1" spans="1:9">
      <c r="G21" s="4" t="s">
        <v>157</v>
      </c>
      <c r="H21" s="5"/>
      <c r="I21" s="11">
        <f>'2-项目参数'!F13</f>
        <v>21015</v>
      </c>
    </row>
    <row r="22" ht="21.6" customHeight="1" spans="1:9">
      <c r="G22" s="4" t="s">
        <v>158</v>
      </c>
      <c r="H22" s="5"/>
      <c r="I22" s="6">
        <f>'2-直接非人力成本测算表'!$C$9</f>
        <v>10000</v>
      </c>
    </row>
    <row r="23" ht="15" customHeight="1" spans="1:9">
      <c r="G23" s="4" t="s">
        <v>159</v>
      </c>
      <c r="H23" s="5" t="s">
        <v>160</v>
      </c>
      <c r="I23" s="6">
        <f>ROUND(I17/I20*I21+I22,2)</f>
        <v>301678.64</v>
      </c>
    </row>
    <row r="24" ht="17" spans="1:9">
      <c r="G24" s="4"/>
      <c r="H24" s="5" t="s">
        <v>161</v>
      </c>
      <c r="I24" s="6">
        <f>ROUND(I18/I20*I21+I22,2)</f>
        <v>399104.08</v>
      </c>
    </row>
    <row r="25" ht="17" spans="1:9">
      <c r="G25" s="4"/>
      <c r="H25" s="5" t="s">
        <v>162</v>
      </c>
      <c r="I25" s="6">
        <f>ROUND(I19/I20*I21+I22,2)</f>
        <v>496529.53</v>
      </c>
    </row>
    <row r="26" ht="17" spans="1:9">
      <c r="G26" s="4"/>
      <c r="H26" s="5" t="s">
        <v>163</v>
      </c>
      <c r="I26" s="6">
        <f>I24</f>
        <v>399104.08</v>
      </c>
    </row>
    <row r="27" ht="17.4" customHeight="1" spans="1:9">
      <c r="G27" s="12"/>
      <c r="H27" s="13" t="s">
        <v>164</v>
      </c>
      <c r="I27" s="14">
        <f>ROUND(I24/I6,2)</f>
        <v>857.09</v>
      </c>
    </row>
  </sheetData>
  <mergeCells count="28">
    <mergeCell ref="A1:E1"/>
    <mergeCell ref="G1:I1"/>
    <mergeCell ref="B2:C2"/>
    <mergeCell ref="G2:H2"/>
    <mergeCell ref="G3:H3"/>
    <mergeCell ref="G4:H4"/>
    <mergeCell ref="A18:D18"/>
    <mergeCell ref="A19:D19"/>
    <mergeCell ref="A20:D20"/>
    <mergeCell ref="G20:H20"/>
    <mergeCell ref="G21:H21"/>
    <mergeCell ref="G22:H22"/>
    <mergeCell ref="A3:A5"/>
    <mergeCell ref="A6:A8"/>
    <mergeCell ref="A9:A11"/>
    <mergeCell ref="A12:A14"/>
    <mergeCell ref="A15:A17"/>
    <mergeCell ref="E3:E5"/>
    <mergeCell ref="E6:E8"/>
    <mergeCell ref="E9:E11"/>
    <mergeCell ref="E12:E14"/>
    <mergeCell ref="E15:E17"/>
    <mergeCell ref="G5:G6"/>
    <mergeCell ref="G7:G9"/>
    <mergeCell ref="G10:G12"/>
    <mergeCell ref="G13:G16"/>
    <mergeCell ref="G17:G19"/>
    <mergeCell ref="G23:G27"/>
  </mergeCell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2-功能点辅助规划（内部用不对外）</vt:lpstr>
      <vt:lpstr>2-项目参数</vt:lpstr>
      <vt:lpstr>2-直接非人力成本测算表</vt:lpstr>
      <vt:lpstr>2-功能点清单</vt:lpstr>
      <vt:lpstr>2-软件计算过程-预估规模</vt:lpstr>
      <vt:lpstr>2-软件计算过程-估算规模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杨杰</dc:creator>
  <cp:lastModifiedBy>孙全宝</cp:lastModifiedBy>
  <dcterms:created xsi:type="dcterms:W3CDTF">2021-08-24T17:22:00Z</dcterms:created>
  <dcterms:modified xsi:type="dcterms:W3CDTF">2026-06-06T09:56:56Z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EBFB437BF19BC25C687E236A01B92B72_42</vt:lpwstr>
  </property>
  <property fmtid="{D5CDD505-2E9C-101B-9397-08002B2CF9AE}" pid="3" name="KSOProductBuildVer">
    <vt:lpwstr>2052-12.1.25895.25895</vt:lpwstr>
  </property>
  <property fmtid="{D5CDD505-2E9C-101B-9397-08002B2CF9AE}" pid="4" name="CalculationRule">
    <vt:i4>0</vt:i4>
  </property>
</Properties>
</file>